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e23a07d17eaefaf/Desktop/Universities/Bachelor's/Germany/Jobs ^0 Internships/Data Projects/Amazon Excel Data Project/"/>
    </mc:Choice>
  </mc:AlternateContent>
  <xr:revisionPtr revIDLastSave="28" documentId="8_{0C229C94-A4C8-467E-ACEA-DC32FB13FE92}" xr6:coauthVersionLast="47" xr6:coauthVersionMax="47" xr10:uidLastSave="{E0A78985-54E5-49EC-8CAD-EC70AEA86273}"/>
  <bookViews>
    <workbookView xWindow="-98" yWindow="-98" windowWidth="21795" windowHeight="11625" tabRatio="1000" activeTab="3" xr2:uid="{00000000-000D-0000-FFFF-FFFF00000000}"/>
  </bookViews>
  <sheets>
    <sheet name="Sheet1" sheetId="1" r:id="rId1"/>
    <sheet name="Amazon_Income_Statements" sheetId="2" r:id="rId2"/>
    <sheet name="Amazon_Segment_Information" sheetId="3" r:id="rId3"/>
    <sheet name="Analysis" sheetId="4" r:id="rId4"/>
    <sheet name="Assumptions" sheetId="5" r:id="rId5"/>
    <sheet name="Forecast" sheetId="6" r:id="rId6"/>
  </sheets>
  <definedNames>
    <definedName name="_xleta.N" hidden="1" xlm="1">#NAME?</definedName>
    <definedName name="ExternalData_1" localSheetId="1" hidden="1">Amazon_Income_Statements!$A$1:$C$115</definedName>
    <definedName name="ExternalData_1" localSheetId="2" hidden="1">Amazon_Segment_Information!$A$1:$D$55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4" l="1"/>
  <c r="B12" i="6" s="1"/>
  <c r="B14" i="6"/>
  <c r="B11" i="6"/>
  <c r="B10" i="6"/>
  <c r="B9" i="6"/>
  <c r="B8" i="6"/>
  <c r="B6" i="6"/>
  <c r="B5" i="6"/>
  <c r="B4" i="6"/>
  <c r="B3" i="6"/>
  <c r="E5" i="5"/>
  <c r="E16" i="5"/>
  <c r="E17" i="5"/>
  <c r="E18" i="5"/>
  <c r="E19" i="5"/>
  <c r="E20" i="5"/>
  <c r="E21" i="5"/>
  <c r="E15" i="5"/>
  <c r="E11" i="5"/>
  <c r="E6" i="5"/>
  <c r="E7" i="5"/>
  <c r="E8" i="5"/>
  <c r="E9" i="5"/>
  <c r="E10" i="5"/>
  <c r="D54" i="4"/>
  <c r="E54" i="4"/>
  <c r="F54" i="4"/>
  <c r="G54" i="4"/>
  <c r="D55" i="4"/>
  <c r="E55" i="4"/>
  <c r="F55" i="4"/>
  <c r="G55" i="4"/>
  <c r="D56" i="4"/>
  <c r="E56" i="4"/>
  <c r="F56" i="4"/>
  <c r="G56" i="4"/>
  <c r="C55" i="4"/>
  <c r="C56" i="4"/>
  <c r="C54" i="4"/>
  <c r="C49" i="4"/>
  <c r="D49" i="4"/>
  <c r="E49" i="4"/>
  <c r="F49" i="4"/>
  <c r="G49" i="4"/>
  <c r="C50" i="4"/>
  <c r="D50" i="4"/>
  <c r="E50" i="4"/>
  <c r="F50" i="4"/>
  <c r="G50" i="4"/>
  <c r="C51" i="4"/>
  <c r="D51" i="4"/>
  <c r="E51" i="4"/>
  <c r="F51" i="4"/>
  <c r="G51" i="4"/>
  <c r="B50" i="4"/>
  <c r="B51" i="4"/>
  <c r="B49" i="4"/>
  <c r="B45" i="4"/>
  <c r="C45" i="4"/>
  <c r="D45" i="4"/>
  <c r="E45" i="4"/>
  <c r="F45" i="4"/>
  <c r="G45" i="4"/>
  <c r="B46" i="4"/>
  <c r="C46" i="4"/>
  <c r="D46" i="4"/>
  <c r="E46" i="4"/>
  <c r="F46" i="4"/>
  <c r="G46" i="4"/>
  <c r="C44" i="4"/>
  <c r="D44" i="4"/>
  <c r="E44" i="4"/>
  <c r="F44" i="4"/>
  <c r="G44" i="4"/>
  <c r="B44" i="4"/>
  <c r="E19" i="4"/>
  <c r="E16" i="4"/>
  <c r="B16" i="4"/>
  <c r="D15" i="4"/>
  <c r="E15" i="4"/>
  <c r="F15" i="4"/>
  <c r="G15" i="4"/>
  <c r="C15" i="4"/>
  <c r="D20" i="4"/>
  <c r="C16" i="4"/>
  <c r="D16" i="4"/>
  <c r="F16" i="4"/>
  <c r="G16" i="4"/>
  <c r="C17" i="4"/>
  <c r="D17" i="4"/>
  <c r="E17" i="4"/>
  <c r="F17" i="4"/>
  <c r="G17" i="4"/>
  <c r="B15" i="6" s="1"/>
  <c r="C18" i="4"/>
  <c r="D18" i="4"/>
  <c r="E18" i="4"/>
  <c r="F18" i="4"/>
  <c r="G18" i="4"/>
  <c r="C19" i="4"/>
  <c r="D19" i="4"/>
  <c r="F19" i="4"/>
  <c r="G19" i="4"/>
  <c r="C20" i="4"/>
  <c r="E20" i="4"/>
  <c r="F20" i="4"/>
  <c r="G20" i="4"/>
  <c r="C21" i="4"/>
  <c r="D21" i="4"/>
  <c r="E21" i="4"/>
  <c r="F21" i="4"/>
  <c r="B17" i="4"/>
  <c r="B18" i="4"/>
  <c r="B19" i="4"/>
  <c r="B20" i="4"/>
  <c r="B21" i="4"/>
  <c r="C3" i="6" l="1"/>
  <c r="C4" i="6"/>
  <c r="C5" i="6"/>
  <c r="C8" i="6" l="1"/>
  <c r="C6" i="6"/>
  <c r="C14" i="6" s="1"/>
  <c r="C15" i="6" s="1"/>
  <c r="D3" i="6"/>
  <c r="D4" i="6"/>
  <c r="C9" i="6"/>
  <c r="C10" i="6"/>
  <c r="D5" i="6"/>
  <c r="D10" i="6" s="1"/>
  <c r="D9" i="6" l="1"/>
  <c r="E4" i="6"/>
  <c r="E9" i="6" s="1"/>
  <c r="C11" i="6"/>
  <c r="C12" i="6" s="1"/>
  <c r="D8" i="6"/>
  <c r="E3" i="6"/>
  <c r="E8" i="6" s="1"/>
  <c r="D6" i="6"/>
  <c r="D14" i="6" s="1"/>
  <c r="D15" i="6" s="1"/>
  <c r="E5" i="6"/>
  <c r="D11" i="6" l="1"/>
  <c r="D12" i="6" s="1"/>
  <c r="E10" i="6"/>
  <c r="E11" i="6" s="1"/>
  <c r="E6" i="6"/>
  <c r="E14" i="6" s="1"/>
  <c r="E15" i="6" s="1"/>
  <c r="E12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15ABEE7-D102-490F-9145-68DBD5014C6F}" keepAlive="1" name="Query - Amazon_Income_Statements" description="Connection to the 'Amazon_Income_Statements' query in the workbook." type="5" refreshedVersion="8" saveData="1">
    <dbPr connection="Provider=Microsoft.Mashup.OleDb.1;Data Source=$Workbook$;Location=Amazon_Income_Statements;Extended Properties=&quot;&quot;" command="SELECT * FROM [Amazon_Income_Statements]"/>
  </connection>
  <connection id="2" xr16:uid="{F23C45F0-91A7-400C-A077-AB73DD75F6EE}" keepAlive="1" name="Query - Amazon_Segment_Information" description="Connection to the 'Amazon_Segment_Information' query in the workbook." type="5" refreshedVersion="8" saveData="1">
    <dbPr connection="Provider=Microsoft.Mashup.OleDb.1;Data Source=$Workbook$;Location=Amazon_Segment_Information;Extended Properties=&quot;&quot;" command="SELECT * FROM [Amazon_Segment_Information]"/>
  </connection>
</connections>
</file>

<file path=xl/sharedStrings.xml><?xml version="1.0" encoding="utf-8"?>
<sst xmlns="http://schemas.openxmlformats.org/spreadsheetml/2006/main" count="584" uniqueCount="257">
  <si>
    <t>AMAZON.COM, INC.</t>
  </si>
  <si>
    <t>CONSOLIDATED STATEMENTS OF OPERATIONS</t>
  </si>
  <si>
    <t>(in millions, except per share data)</t>
  </si>
  <si>
    <t>Net product sales</t>
  </si>
  <si>
    <t>255,887 </t>
  </si>
  <si>
    <t>272,311 </t>
  </si>
  <si>
    <t>296,266 </t>
  </si>
  <si>
    <t>Net service sales</t>
  </si>
  <si>
    <t>318,898 </t>
  </si>
  <si>
    <t>365,648 </t>
  </si>
  <si>
    <t>420,658 </t>
  </si>
  <si>
    <t>Total net sales</t>
  </si>
  <si>
    <t>574,785 </t>
  </si>
  <si>
    <t>637,959 </t>
  </si>
  <si>
    <t>716,924 </t>
  </si>
  <si>
    <t>Operating expenses:</t>
  </si>
  <si>
    <t>Cost of sales</t>
  </si>
  <si>
    <t>304,739 </t>
  </si>
  <si>
    <t>326,288 </t>
  </si>
  <si>
    <t>356,414 </t>
  </si>
  <si>
    <t>Fulfillment</t>
  </si>
  <si>
    <t>90,619 </t>
  </si>
  <si>
    <t>98,505 </t>
  </si>
  <si>
    <t>109,074 </t>
  </si>
  <si>
    <t>Technology and infrastructure</t>
  </si>
  <si>
    <t>85,622 </t>
  </si>
  <si>
    <t>88,544 </t>
  </si>
  <si>
    <t>108,521 </t>
  </si>
  <si>
    <t>Sales and marketing</t>
  </si>
  <si>
    <t>44,370 </t>
  </si>
  <si>
    <t>43,907 </t>
  </si>
  <si>
    <t>47,129 </t>
  </si>
  <si>
    <t>General and administrative</t>
  </si>
  <si>
    <t>11,816 </t>
  </si>
  <si>
    <t>11,359 </t>
  </si>
  <si>
    <t>11,172 </t>
  </si>
  <si>
    <t>Other operating expense (income), net</t>
  </si>
  <si>
    <t>767 </t>
  </si>
  <si>
    <t>763 </t>
  </si>
  <si>
    <t>4,639 </t>
  </si>
  <si>
    <t>Total operating expenses</t>
  </si>
  <si>
    <t>537,933 </t>
  </si>
  <si>
    <t>569,366 </t>
  </si>
  <si>
    <t>636,949 </t>
  </si>
  <si>
    <t>Operating income</t>
  </si>
  <si>
    <t>36,852 </t>
  </si>
  <si>
    <t>68,593 </t>
  </si>
  <si>
    <t>79,975 </t>
  </si>
  <si>
    <t>Interest income</t>
  </si>
  <si>
    <t>2,949 </t>
  </si>
  <si>
    <t>4,677 </t>
  </si>
  <si>
    <t>4,381 </t>
  </si>
  <si>
    <t>Interest expense</t>
  </si>
  <si>
    <t>Other income (expense), net</t>
  </si>
  <si>
    <t>938 </t>
  </si>
  <si>
    <t>15,229 </t>
  </si>
  <si>
    <t>705 </t>
  </si>
  <si>
    <t>21 </t>
  </si>
  <si>
    <t>17,336 </t>
  </si>
  <si>
    <t>37,557 </t>
  </si>
  <si>
    <t>68,614 </t>
  </si>
  <si>
    <t>97,311 </t>
  </si>
  <si>
    <t>Equity-method investment activity, net of tax</t>
  </si>
  <si>
    <t>30,425 </t>
  </si>
  <si>
    <t>59,248 </t>
  </si>
  <si>
    <t>77,670 </t>
  </si>
  <si>
    <t>Basic earnings per share</t>
  </si>
  <si>
    <t>2.95 </t>
  </si>
  <si>
    <t>5.66 </t>
  </si>
  <si>
    <t>7.29 </t>
  </si>
  <si>
    <t>Diluted earnings per share</t>
  </si>
  <si>
    <t>2.90 </t>
  </si>
  <si>
    <t>5.53 </t>
  </si>
  <si>
    <t>7.17 </t>
  </si>
  <si>
    <t>Weighted-average shares used in computation of earnings per share:</t>
  </si>
  <si>
    <t>Basic</t>
  </si>
  <si>
    <t>10,304 </t>
  </si>
  <si>
    <t>10,473 </t>
  </si>
  <si>
    <t>10,656 </t>
  </si>
  <si>
    <t>Diluted</t>
  </si>
  <si>
    <t>10,492 </t>
  </si>
  <si>
    <t>10,721 </t>
  </si>
  <si>
    <t>10,827 </t>
  </si>
  <si>
    <t>North America</t>
  </si>
  <si>
    <t>Net sales</t>
  </si>
  <si>
    <t>352,828 </t>
  </si>
  <si>
    <t>387,497 </t>
  </si>
  <si>
    <t>426,305 </t>
  </si>
  <si>
    <t>Operating expenses</t>
  </si>
  <si>
    <t>337,951 </t>
  </si>
  <si>
    <t>362,530 </t>
  </si>
  <si>
    <t>396,686 </t>
  </si>
  <si>
    <t>14,877 </t>
  </si>
  <si>
    <t>24,967 </t>
  </si>
  <si>
    <t>29,619 </t>
  </si>
  <si>
    <t>International</t>
  </si>
  <si>
    <t>131,200 </t>
  </si>
  <si>
    <t>142,906 </t>
  </si>
  <si>
    <t>161,894 </t>
  </si>
  <si>
    <t>133,856 </t>
  </si>
  <si>
    <t>139,114 </t>
  </si>
  <si>
    <t>157,144 </t>
  </si>
  <si>
    <t>Operating income (loss)</t>
  </si>
  <si>
    <t>3,792 </t>
  </si>
  <si>
    <t>4,750 </t>
  </si>
  <si>
    <t>AWS</t>
  </si>
  <si>
    <t>90,757 </t>
  </si>
  <si>
    <t>107,556 </t>
  </si>
  <si>
    <t>128,725 </t>
  </si>
  <si>
    <t>66,126 </t>
  </si>
  <si>
    <t>67,722 </t>
  </si>
  <si>
    <t>83,119 </t>
  </si>
  <si>
    <t>24,631 </t>
  </si>
  <si>
    <t>39,834 </t>
  </si>
  <si>
    <t>45,606 </t>
  </si>
  <si>
    <t>Consolidated</t>
  </si>
  <si>
    <t>SEGMENT INFORMATION</t>
  </si>
  <si>
    <t>215,915 </t>
  </si>
  <si>
    <t>241,787 </t>
  </si>
  <si>
    <t>242,901 </t>
  </si>
  <si>
    <t>170,149 </t>
  </si>
  <si>
    <t>228,035 </t>
  </si>
  <si>
    <t>271,082 </t>
  </si>
  <si>
    <t>386,064 </t>
  </si>
  <si>
    <t>469,822 </t>
  </si>
  <si>
    <t>513,983 </t>
  </si>
  <si>
    <t>233,307 </t>
  </si>
  <si>
    <t>272,344 </t>
  </si>
  <si>
    <t>288,831 </t>
  </si>
  <si>
    <t>58,517 </t>
  </si>
  <si>
    <t>75,111 </t>
  </si>
  <si>
    <t>84,299 </t>
  </si>
  <si>
    <t>42,740 </t>
  </si>
  <si>
    <t>56,052 </t>
  </si>
  <si>
    <t>73,213 </t>
  </si>
  <si>
    <t>22,008 </t>
  </si>
  <si>
    <t>32,551 </t>
  </si>
  <si>
    <t>42,238 </t>
  </si>
  <si>
    <t>6,668 </t>
  </si>
  <si>
    <t>8,823 </t>
  </si>
  <si>
    <t>11,891 </t>
  </si>
  <si>
    <t>62 </t>
  </si>
  <si>
    <t>1,263 </t>
  </si>
  <si>
    <t>363,165 </t>
  </si>
  <si>
    <t>444,943 </t>
  </si>
  <si>
    <t>501,735 </t>
  </si>
  <si>
    <t>22,899 </t>
  </si>
  <si>
    <t>24,879 </t>
  </si>
  <si>
    <t>12,248 </t>
  </si>
  <si>
    <t>555 </t>
  </si>
  <si>
    <t>448 </t>
  </si>
  <si>
    <t>989 </t>
  </si>
  <si>
    <t>2,371 </t>
  </si>
  <si>
    <t>14,633 </t>
  </si>
  <si>
    <t>Total non-operating income (expense)</t>
  </si>
  <si>
    <t>1,279 </t>
  </si>
  <si>
    <t>13,272 </t>
  </si>
  <si>
    <t>Income (loss) before income taxes</t>
  </si>
  <si>
    <t>24,178 </t>
  </si>
  <si>
    <t>38,151 </t>
  </si>
  <si>
    <t>Benefit (provision) for income taxes</t>
  </si>
  <si>
    <t>3,217 </t>
  </si>
  <si>
    <t>16 </t>
  </si>
  <si>
    <t>4 </t>
  </si>
  <si>
    <t>Net income (loss)</t>
  </si>
  <si>
    <t>21,331 </t>
  </si>
  <si>
    <t>33,364 </t>
  </si>
  <si>
    <t>2.13 </t>
  </si>
  <si>
    <t>3.30 </t>
  </si>
  <si>
    <t>2.09 </t>
  </si>
  <si>
    <t>3.24 </t>
  </si>
  <si>
    <t>10,005 </t>
  </si>
  <si>
    <t>10,117 </t>
  </si>
  <si>
    <t>10,189 </t>
  </si>
  <si>
    <t>10,198 </t>
  </si>
  <si>
    <t>10,296 </t>
  </si>
  <si>
    <t>236,282 </t>
  </si>
  <si>
    <t>279,833 </t>
  </si>
  <si>
    <t>315,880 </t>
  </si>
  <si>
    <t>227,631 </t>
  </si>
  <si>
    <t>272,562 </t>
  </si>
  <si>
    <t>318,727 </t>
  </si>
  <si>
    <t>8,651 </t>
  </si>
  <si>
    <t>7,271 </t>
  </si>
  <si>
    <t>104,412 </t>
  </si>
  <si>
    <t>127,787 </t>
  </si>
  <si>
    <t>118,007 </t>
  </si>
  <si>
    <t>103,695 </t>
  </si>
  <si>
    <t>128,711 </t>
  </si>
  <si>
    <t>125,753 </t>
  </si>
  <si>
    <t>717 </t>
  </si>
  <si>
    <t>45,370 </t>
  </si>
  <si>
    <t>62,202 </t>
  </si>
  <si>
    <t>80,096 </t>
  </si>
  <si>
    <t>31,839 </t>
  </si>
  <si>
    <t>43,670 </t>
  </si>
  <si>
    <t>57,255 </t>
  </si>
  <si>
    <t>13,531 </t>
  </si>
  <si>
    <t>18,532 </t>
  </si>
  <si>
    <t>22,841 </t>
  </si>
  <si>
    <t>2020</t>
  </si>
  <si>
    <t>2021</t>
  </si>
  <si>
    <t>2022</t>
  </si>
  <si>
    <t>2023</t>
  </si>
  <si>
    <t>2024</t>
  </si>
  <si>
    <t>2025</t>
  </si>
  <si>
    <t>Amazon Income Statements</t>
  </si>
  <si>
    <t>Amazon Segment Information</t>
  </si>
  <si>
    <t>Year</t>
  </si>
  <si>
    <t>Value</t>
  </si>
  <si>
    <t>Segment</t>
  </si>
  <si>
    <t>Line item</t>
  </si>
  <si>
    <t>Row Labels</t>
  </si>
  <si>
    <t>Grand Total</t>
  </si>
  <si>
    <t>Column Labels</t>
  </si>
  <si>
    <t>Cost of sales % of net sales</t>
  </si>
  <si>
    <t>Fulfillment %</t>
  </si>
  <si>
    <t>Technology and infrastructure %</t>
  </si>
  <si>
    <t>Sales and marketing %</t>
  </si>
  <si>
    <t>General and administrative %</t>
  </si>
  <si>
    <t>Operating margin (operating income ÷ net sales)</t>
  </si>
  <si>
    <t>Net sales growth (from 2021 onwards)</t>
  </si>
  <si>
    <t>USD millions</t>
  </si>
  <si>
    <t>Operating margin per segment</t>
  </si>
  <si>
    <t>Share of total sales</t>
  </si>
  <si>
    <t>Growth per segment</t>
  </si>
  <si>
    <t>Base</t>
  </si>
  <si>
    <t>2026 Assumptions</t>
  </si>
  <si>
    <t>Scenario:</t>
  </si>
  <si>
    <t>Optimistic</t>
  </si>
  <si>
    <t>Pessimistic</t>
  </si>
  <si>
    <t>Active</t>
  </si>
  <si>
    <t>AWS sales growth</t>
  </si>
  <si>
    <t>International sales growth</t>
  </si>
  <si>
    <t>North America sales growth</t>
  </si>
  <si>
    <t>AWS operating margin</t>
  </si>
  <si>
    <t>International operating margin</t>
  </si>
  <si>
    <t>North America operating margin</t>
  </si>
  <si>
    <t>Fulfillment % of net sales</t>
  </si>
  <si>
    <t>2027-2028 Assumptions</t>
  </si>
  <si>
    <t>Assumptions for:</t>
  </si>
  <si>
    <t>2025 (actual)</t>
  </si>
  <si>
    <t>AWS net sales</t>
  </si>
  <si>
    <t>International net sales</t>
  </si>
  <si>
    <t>North America net sales</t>
  </si>
  <si>
    <t>AWS operating income</t>
  </si>
  <si>
    <t>International operating income</t>
  </si>
  <si>
    <t>North America operating income</t>
  </si>
  <si>
    <t>Total operating income</t>
  </si>
  <si>
    <t>Operating margin</t>
  </si>
  <si>
    <t>Fulfillment cost (memo)</t>
  </si>
  <si>
    <t>Fulfillment % of net sales (memo)</t>
  </si>
  <si>
    <t>Net sales 2028</t>
  </si>
  <si>
    <t>Operating income 2028</t>
  </si>
  <si>
    <t>Operating margin 2028</t>
  </si>
  <si>
    <t>Forecast (active scenario)</t>
  </si>
  <si>
    <t>Scenario comparison: 2028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</si>
</sst>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0.0%"/>
    <numFmt numFmtId="165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6">
    <xf numFmtId="0" fontId="0" fillId="0" borderId="0" xfId="0"/>
    <xf numFmtId="3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/>
    <xf numFmtId="10" fontId="0" fillId="0" borderId="0" xfId="0" applyNumberFormat="1"/>
    <xf numFmtId="1" fontId="0" fillId="0" borderId="0" xfId="0" applyNumberFormat="1"/>
    <xf numFmtId="0" fontId="0" fillId="2" borderId="2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164" fontId="0" fillId="0" borderId="3" xfId="1" applyNumberFormat="1" applyFont="1" applyBorder="1"/>
    <xf numFmtId="0" fontId="0" fillId="0" borderId="3" xfId="0" applyBorder="1" applyAlignment="1">
      <alignment horizontal="left"/>
    </xf>
    <xf numFmtId="0" fontId="2" fillId="0" borderId="3" xfId="0" applyFont="1" applyBorder="1"/>
    <xf numFmtId="0" fontId="4" fillId="0" borderId="3" xfId="0" applyFont="1" applyBorder="1"/>
    <xf numFmtId="0" fontId="0" fillId="0" borderId="3" xfId="0" applyBorder="1" applyAlignment="1">
      <alignment vertical="center" wrapText="1"/>
    </xf>
    <xf numFmtId="0" fontId="4" fillId="0" borderId="4" xfId="0" applyFont="1" applyBorder="1"/>
    <xf numFmtId="165" fontId="0" fillId="0" borderId="3" xfId="2" applyNumberFormat="1" applyFont="1" applyBorder="1"/>
    <xf numFmtId="165" fontId="2" fillId="0" borderId="3" xfId="2" applyNumberFormat="1" applyFont="1" applyBorder="1"/>
    <xf numFmtId="0" fontId="0" fillId="0" borderId="3" xfId="0" applyBorder="1" applyAlignment="1">
      <alignment horizontal="center"/>
    </xf>
    <xf numFmtId="165" fontId="0" fillId="0" borderId="3" xfId="0" applyNumberFormat="1" applyBorder="1"/>
    <xf numFmtId="164" fontId="0" fillId="0" borderId="3" xfId="0" applyNumberFormat="1" applyBorder="1"/>
    <xf numFmtId="164" fontId="0" fillId="0" borderId="3" xfId="1" applyNumberFormat="1" applyFont="1" applyBorder="1" applyAlignment="1">
      <alignment wrapText="1"/>
    </xf>
  </cellXfs>
  <cellStyles count="3">
    <cellStyle name="Comma" xfId="2" builtinId="3"/>
    <cellStyle name="Normal" xfId="0" builtinId="0"/>
    <cellStyle name="Per cent" xfId="1" builtinId="5"/>
  </cellStyles>
  <dxfs count="5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All Borders" table="0" count="1" xr9:uid="{A34F6011-222E-4BC9-B1AB-E08E49A22EEF}">
      <tableStyleElement type="wholeTabl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233363</xdr:colOff>
          <xdr:row>1</xdr:row>
          <xdr:rowOff>90488</xdr:rowOff>
        </xdr:from>
        <xdr:to>
          <xdr:col>9</xdr:col>
          <xdr:colOff>385763</xdr:colOff>
          <xdr:row>5</xdr:row>
          <xdr:rowOff>119063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17</xdr:row>
          <xdr:rowOff>80963</xdr:rowOff>
        </xdr:from>
        <xdr:to>
          <xdr:col>8</xdr:col>
          <xdr:colOff>319088</xdr:colOff>
          <xdr:row>21</xdr:row>
          <xdr:rowOff>119063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Summarize Scenarios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gun Dhaul" refreshedDate="46324.73473773148" createdVersion="8" refreshedVersion="8" minRefreshableVersion="3" recordCount="54" xr:uid="{52593059-192E-47AC-9EE7-58E7765D59B4}">
  <cacheSource type="worksheet">
    <worksheetSource name="Amazon_Segment_Information_1"/>
  </cacheSource>
  <cacheFields count="4">
    <cacheField name="Line item" numFmtId="0">
      <sharedItems count="3">
        <s v="Net sales"/>
        <s v="Operating expenses"/>
        <s v="Operating income"/>
      </sharedItems>
    </cacheField>
    <cacheField name="Segment" numFmtId="0">
      <sharedItems count="3">
        <s v="North America"/>
        <s v="International"/>
        <s v="AWS"/>
      </sharedItems>
    </cacheField>
    <cacheField name="Year" numFmtId="0">
      <sharedItems containsSemiMixedTypes="0" containsString="0" containsNumber="1" containsInteger="1" minValue="2020" maxValue="2025" count="6">
        <n v="2020"/>
        <n v="2021"/>
        <n v="2022"/>
        <n v="2023"/>
        <n v="2024"/>
        <n v="2025"/>
      </sharedItems>
    </cacheField>
    <cacheField name="Value" numFmtId="0">
      <sharedItems containsSemiMixedTypes="0" containsString="0" containsNumber="1" containsInteger="1" minValue="-7746" maxValue="4263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gun Dhaul" refreshedDate="46324.734737962965" createdVersion="8" refreshedVersion="8" minRefreshableVersion="3" recordCount="114" xr:uid="{8509AB8E-1DE0-4475-9046-AC00BC214ADC}">
  <cacheSource type="worksheet">
    <worksheetSource name="Amazon_Income_Statements_1"/>
  </cacheSource>
  <cacheFields count="3">
    <cacheField name="Line item" numFmtId="0">
      <sharedItems count="19">
        <s v="Net product sales"/>
        <s v="Net service sales"/>
        <s v="Total net sales"/>
        <s v="Cost of sales"/>
        <s v="Fulfillment"/>
        <s v="Technology and infrastructure"/>
        <s v="Sales and marketing"/>
        <s v="General and administrative"/>
        <s v="Other operating expense (income), net"/>
        <s v="Total operating expenses"/>
        <s v="Operating income"/>
        <s v="Interest income"/>
        <s v="Interest expense"/>
        <s v="Other income (expense), net"/>
        <s v="Total non-operating income (expense)"/>
        <s v="Income (loss) before income taxes"/>
        <s v="Benefit (provision) for income taxes"/>
        <s v="Equity-method investment activity, net of tax"/>
        <s v="Net income (loss)"/>
      </sharedItems>
    </cacheField>
    <cacheField name="Year" numFmtId="0">
      <sharedItems containsSemiMixedTypes="0" containsString="0" containsNumber="1" containsInteger="1" minValue="2020" maxValue="2025" count="6">
        <n v="2020"/>
        <n v="2021"/>
        <n v="2022"/>
        <n v="2023"/>
        <n v="2024"/>
        <n v="2025"/>
      </sharedItems>
    </cacheField>
    <cacheField name="Value" numFmtId="0">
      <sharedItems containsSemiMixedTypes="0" containsString="0" containsNumber="1" containsInteger="1" minValue="-19087" maxValue="7169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x v="0"/>
    <x v="0"/>
    <n v="236282"/>
  </r>
  <r>
    <x v="0"/>
    <x v="0"/>
    <x v="1"/>
    <n v="279833"/>
  </r>
  <r>
    <x v="0"/>
    <x v="0"/>
    <x v="2"/>
    <n v="315880"/>
  </r>
  <r>
    <x v="0"/>
    <x v="0"/>
    <x v="3"/>
    <n v="352828"/>
  </r>
  <r>
    <x v="0"/>
    <x v="0"/>
    <x v="4"/>
    <n v="387497"/>
  </r>
  <r>
    <x v="0"/>
    <x v="0"/>
    <x v="5"/>
    <n v="426305"/>
  </r>
  <r>
    <x v="1"/>
    <x v="0"/>
    <x v="0"/>
    <n v="227631"/>
  </r>
  <r>
    <x v="1"/>
    <x v="0"/>
    <x v="1"/>
    <n v="272562"/>
  </r>
  <r>
    <x v="1"/>
    <x v="0"/>
    <x v="2"/>
    <n v="318727"/>
  </r>
  <r>
    <x v="1"/>
    <x v="0"/>
    <x v="3"/>
    <n v="337951"/>
  </r>
  <r>
    <x v="1"/>
    <x v="0"/>
    <x v="4"/>
    <n v="362530"/>
  </r>
  <r>
    <x v="1"/>
    <x v="0"/>
    <x v="5"/>
    <n v="396686"/>
  </r>
  <r>
    <x v="2"/>
    <x v="0"/>
    <x v="0"/>
    <n v="8651"/>
  </r>
  <r>
    <x v="2"/>
    <x v="0"/>
    <x v="1"/>
    <n v="7271"/>
  </r>
  <r>
    <x v="2"/>
    <x v="0"/>
    <x v="2"/>
    <n v="-2847"/>
  </r>
  <r>
    <x v="2"/>
    <x v="0"/>
    <x v="3"/>
    <n v="14877"/>
  </r>
  <r>
    <x v="2"/>
    <x v="0"/>
    <x v="4"/>
    <n v="24967"/>
  </r>
  <r>
    <x v="2"/>
    <x v="0"/>
    <x v="5"/>
    <n v="29619"/>
  </r>
  <r>
    <x v="0"/>
    <x v="1"/>
    <x v="0"/>
    <n v="104412"/>
  </r>
  <r>
    <x v="0"/>
    <x v="1"/>
    <x v="1"/>
    <n v="127787"/>
  </r>
  <r>
    <x v="0"/>
    <x v="1"/>
    <x v="2"/>
    <n v="118007"/>
  </r>
  <r>
    <x v="0"/>
    <x v="1"/>
    <x v="3"/>
    <n v="131200"/>
  </r>
  <r>
    <x v="0"/>
    <x v="1"/>
    <x v="4"/>
    <n v="142906"/>
  </r>
  <r>
    <x v="0"/>
    <x v="1"/>
    <x v="5"/>
    <n v="161894"/>
  </r>
  <r>
    <x v="1"/>
    <x v="1"/>
    <x v="0"/>
    <n v="103695"/>
  </r>
  <r>
    <x v="1"/>
    <x v="1"/>
    <x v="1"/>
    <n v="128711"/>
  </r>
  <r>
    <x v="1"/>
    <x v="1"/>
    <x v="2"/>
    <n v="125753"/>
  </r>
  <r>
    <x v="1"/>
    <x v="1"/>
    <x v="3"/>
    <n v="133856"/>
  </r>
  <r>
    <x v="1"/>
    <x v="1"/>
    <x v="4"/>
    <n v="139114"/>
  </r>
  <r>
    <x v="1"/>
    <x v="1"/>
    <x v="5"/>
    <n v="157144"/>
  </r>
  <r>
    <x v="2"/>
    <x v="1"/>
    <x v="0"/>
    <n v="717"/>
  </r>
  <r>
    <x v="2"/>
    <x v="1"/>
    <x v="1"/>
    <n v="-924"/>
  </r>
  <r>
    <x v="2"/>
    <x v="1"/>
    <x v="2"/>
    <n v="-7746"/>
  </r>
  <r>
    <x v="2"/>
    <x v="1"/>
    <x v="3"/>
    <n v="-2656"/>
  </r>
  <r>
    <x v="2"/>
    <x v="1"/>
    <x v="4"/>
    <n v="3792"/>
  </r>
  <r>
    <x v="2"/>
    <x v="1"/>
    <x v="5"/>
    <n v="4750"/>
  </r>
  <r>
    <x v="0"/>
    <x v="2"/>
    <x v="0"/>
    <n v="45370"/>
  </r>
  <r>
    <x v="0"/>
    <x v="2"/>
    <x v="1"/>
    <n v="62202"/>
  </r>
  <r>
    <x v="0"/>
    <x v="2"/>
    <x v="2"/>
    <n v="80096"/>
  </r>
  <r>
    <x v="0"/>
    <x v="2"/>
    <x v="3"/>
    <n v="90757"/>
  </r>
  <r>
    <x v="0"/>
    <x v="2"/>
    <x v="4"/>
    <n v="107556"/>
  </r>
  <r>
    <x v="0"/>
    <x v="2"/>
    <x v="5"/>
    <n v="128725"/>
  </r>
  <r>
    <x v="1"/>
    <x v="2"/>
    <x v="0"/>
    <n v="31839"/>
  </r>
  <r>
    <x v="1"/>
    <x v="2"/>
    <x v="1"/>
    <n v="43670"/>
  </r>
  <r>
    <x v="1"/>
    <x v="2"/>
    <x v="2"/>
    <n v="57255"/>
  </r>
  <r>
    <x v="1"/>
    <x v="2"/>
    <x v="3"/>
    <n v="66126"/>
  </r>
  <r>
    <x v="1"/>
    <x v="2"/>
    <x v="4"/>
    <n v="67722"/>
  </r>
  <r>
    <x v="1"/>
    <x v="2"/>
    <x v="5"/>
    <n v="83119"/>
  </r>
  <r>
    <x v="2"/>
    <x v="2"/>
    <x v="0"/>
    <n v="13531"/>
  </r>
  <r>
    <x v="2"/>
    <x v="2"/>
    <x v="1"/>
    <n v="18532"/>
  </r>
  <r>
    <x v="2"/>
    <x v="2"/>
    <x v="2"/>
    <n v="22841"/>
  </r>
  <r>
    <x v="2"/>
    <x v="2"/>
    <x v="3"/>
    <n v="24631"/>
  </r>
  <r>
    <x v="2"/>
    <x v="2"/>
    <x v="4"/>
    <n v="39834"/>
  </r>
  <r>
    <x v="2"/>
    <x v="2"/>
    <x v="5"/>
    <n v="4560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">
  <r>
    <x v="0"/>
    <x v="0"/>
    <n v="215915"/>
  </r>
  <r>
    <x v="0"/>
    <x v="1"/>
    <n v="241787"/>
  </r>
  <r>
    <x v="0"/>
    <x v="2"/>
    <n v="242901"/>
  </r>
  <r>
    <x v="0"/>
    <x v="3"/>
    <n v="255887"/>
  </r>
  <r>
    <x v="0"/>
    <x v="4"/>
    <n v="272311"/>
  </r>
  <r>
    <x v="0"/>
    <x v="5"/>
    <n v="296266"/>
  </r>
  <r>
    <x v="1"/>
    <x v="0"/>
    <n v="170149"/>
  </r>
  <r>
    <x v="1"/>
    <x v="1"/>
    <n v="228035"/>
  </r>
  <r>
    <x v="1"/>
    <x v="2"/>
    <n v="271082"/>
  </r>
  <r>
    <x v="1"/>
    <x v="3"/>
    <n v="318898"/>
  </r>
  <r>
    <x v="1"/>
    <x v="4"/>
    <n v="365648"/>
  </r>
  <r>
    <x v="1"/>
    <x v="5"/>
    <n v="420658"/>
  </r>
  <r>
    <x v="2"/>
    <x v="0"/>
    <n v="386064"/>
  </r>
  <r>
    <x v="2"/>
    <x v="1"/>
    <n v="469822"/>
  </r>
  <r>
    <x v="2"/>
    <x v="2"/>
    <n v="513983"/>
  </r>
  <r>
    <x v="2"/>
    <x v="3"/>
    <n v="574785"/>
  </r>
  <r>
    <x v="2"/>
    <x v="4"/>
    <n v="637959"/>
  </r>
  <r>
    <x v="2"/>
    <x v="5"/>
    <n v="716924"/>
  </r>
  <r>
    <x v="3"/>
    <x v="0"/>
    <n v="233307"/>
  </r>
  <r>
    <x v="3"/>
    <x v="1"/>
    <n v="272344"/>
  </r>
  <r>
    <x v="3"/>
    <x v="2"/>
    <n v="288831"/>
  </r>
  <r>
    <x v="3"/>
    <x v="3"/>
    <n v="304739"/>
  </r>
  <r>
    <x v="3"/>
    <x v="4"/>
    <n v="326288"/>
  </r>
  <r>
    <x v="3"/>
    <x v="5"/>
    <n v="356414"/>
  </r>
  <r>
    <x v="4"/>
    <x v="0"/>
    <n v="58517"/>
  </r>
  <r>
    <x v="4"/>
    <x v="1"/>
    <n v="75111"/>
  </r>
  <r>
    <x v="4"/>
    <x v="2"/>
    <n v="84299"/>
  </r>
  <r>
    <x v="4"/>
    <x v="3"/>
    <n v="90619"/>
  </r>
  <r>
    <x v="4"/>
    <x v="4"/>
    <n v="98505"/>
  </r>
  <r>
    <x v="4"/>
    <x v="5"/>
    <n v="109074"/>
  </r>
  <r>
    <x v="5"/>
    <x v="0"/>
    <n v="42740"/>
  </r>
  <r>
    <x v="5"/>
    <x v="1"/>
    <n v="56052"/>
  </r>
  <r>
    <x v="5"/>
    <x v="2"/>
    <n v="73213"/>
  </r>
  <r>
    <x v="5"/>
    <x v="3"/>
    <n v="85622"/>
  </r>
  <r>
    <x v="5"/>
    <x v="4"/>
    <n v="88544"/>
  </r>
  <r>
    <x v="5"/>
    <x v="5"/>
    <n v="108521"/>
  </r>
  <r>
    <x v="6"/>
    <x v="0"/>
    <n v="22008"/>
  </r>
  <r>
    <x v="6"/>
    <x v="1"/>
    <n v="32551"/>
  </r>
  <r>
    <x v="6"/>
    <x v="2"/>
    <n v="42238"/>
  </r>
  <r>
    <x v="6"/>
    <x v="3"/>
    <n v="44370"/>
  </r>
  <r>
    <x v="6"/>
    <x v="4"/>
    <n v="43907"/>
  </r>
  <r>
    <x v="6"/>
    <x v="5"/>
    <n v="47129"/>
  </r>
  <r>
    <x v="7"/>
    <x v="0"/>
    <n v="6668"/>
  </r>
  <r>
    <x v="7"/>
    <x v="1"/>
    <n v="8823"/>
  </r>
  <r>
    <x v="7"/>
    <x v="2"/>
    <n v="11891"/>
  </r>
  <r>
    <x v="7"/>
    <x v="3"/>
    <n v="11816"/>
  </r>
  <r>
    <x v="7"/>
    <x v="4"/>
    <n v="11359"/>
  </r>
  <r>
    <x v="7"/>
    <x v="5"/>
    <n v="11172"/>
  </r>
  <r>
    <x v="8"/>
    <x v="0"/>
    <n v="-75"/>
  </r>
  <r>
    <x v="8"/>
    <x v="1"/>
    <n v="62"/>
  </r>
  <r>
    <x v="8"/>
    <x v="2"/>
    <n v="1263"/>
  </r>
  <r>
    <x v="8"/>
    <x v="3"/>
    <n v="767"/>
  </r>
  <r>
    <x v="8"/>
    <x v="4"/>
    <n v="763"/>
  </r>
  <r>
    <x v="8"/>
    <x v="5"/>
    <n v="4639"/>
  </r>
  <r>
    <x v="9"/>
    <x v="0"/>
    <n v="363165"/>
  </r>
  <r>
    <x v="9"/>
    <x v="1"/>
    <n v="444943"/>
  </r>
  <r>
    <x v="9"/>
    <x v="2"/>
    <n v="501735"/>
  </r>
  <r>
    <x v="9"/>
    <x v="3"/>
    <n v="537933"/>
  </r>
  <r>
    <x v="9"/>
    <x v="4"/>
    <n v="569366"/>
  </r>
  <r>
    <x v="9"/>
    <x v="5"/>
    <n v="636949"/>
  </r>
  <r>
    <x v="10"/>
    <x v="0"/>
    <n v="22899"/>
  </r>
  <r>
    <x v="10"/>
    <x v="1"/>
    <n v="24879"/>
  </r>
  <r>
    <x v="10"/>
    <x v="2"/>
    <n v="12248"/>
  </r>
  <r>
    <x v="10"/>
    <x v="3"/>
    <n v="36852"/>
  </r>
  <r>
    <x v="10"/>
    <x v="4"/>
    <n v="68593"/>
  </r>
  <r>
    <x v="10"/>
    <x v="5"/>
    <n v="79975"/>
  </r>
  <r>
    <x v="11"/>
    <x v="0"/>
    <n v="555"/>
  </r>
  <r>
    <x v="11"/>
    <x v="1"/>
    <n v="448"/>
  </r>
  <r>
    <x v="11"/>
    <x v="2"/>
    <n v="989"/>
  </r>
  <r>
    <x v="11"/>
    <x v="3"/>
    <n v="2949"/>
  </r>
  <r>
    <x v="11"/>
    <x v="4"/>
    <n v="4677"/>
  </r>
  <r>
    <x v="11"/>
    <x v="5"/>
    <n v="4381"/>
  </r>
  <r>
    <x v="12"/>
    <x v="0"/>
    <n v="-1647"/>
  </r>
  <r>
    <x v="12"/>
    <x v="1"/>
    <n v="-1809"/>
  </r>
  <r>
    <x v="12"/>
    <x v="2"/>
    <n v="-2367"/>
  </r>
  <r>
    <x v="12"/>
    <x v="3"/>
    <n v="-3182"/>
  </r>
  <r>
    <x v="12"/>
    <x v="4"/>
    <n v="-2406"/>
  </r>
  <r>
    <x v="12"/>
    <x v="5"/>
    <n v="-2274"/>
  </r>
  <r>
    <x v="13"/>
    <x v="0"/>
    <n v="2371"/>
  </r>
  <r>
    <x v="13"/>
    <x v="1"/>
    <n v="14633"/>
  </r>
  <r>
    <x v="13"/>
    <x v="2"/>
    <n v="-16806"/>
  </r>
  <r>
    <x v="13"/>
    <x v="3"/>
    <n v="938"/>
  </r>
  <r>
    <x v="13"/>
    <x v="4"/>
    <n v="-2250"/>
  </r>
  <r>
    <x v="13"/>
    <x v="5"/>
    <n v="15229"/>
  </r>
  <r>
    <x v="14"/>
    <x v="0"/>
    <n v="1279"/>
  </r>
  <r>
    <x v="14"/>
    <x v="1"/>
    <n v="13272"/>
  </r>
  <r>
    <x v="14"/>
    <x v="2"/>
    <n v="-18184"/>
  </r>
  <r>
    <x v="14"/>
    <x v="3"/>
    <n v="705"/>
  </r>
  <r>
    <x v="14"/>
    <x v="4"/>
    <n v="21"/>
  </r>
  <r>
    <x v="14"/>
    <x v="5"/>
    <n v="17336"/>
  </r>
  <r>
    <x v="15"/>
    <x v="0"/>
    <n v="24178"/>
  </r>
  <r>
    <x v="15"/>
    <x v="1"/>
    <n v="38151"/>
  </r>
  <r>
    <x v="15"/>
    <x v="2"/>
    <n v="-5936"/>
  </r>
  <r>
    <x v="15"/>
    <x v="3"/>
    <n v="37557"/>
  </r>
  <r>
    <x v="15"/>
    <x v="4"/>
    <n v="68614"/>
  </r>
  <r>
    <x v="15"/>
    <x v="5"/>
    <n v="97311"/>
  </r>
  <r>
    <x v="16"/>
    <x v="0"/>
    <n v="-2863"/>
  </r>
  <r>
    <x v="16"/>
    <x v="1"/>
    <n v="-4791"/>
  </r>
  <r>
    <x v="16"/>
    <x v="2"/>
    <n v="3217"/>
  </r>
  <r>
    <x v="16"/>
    <x v="3"/>
    <n v="-7120"/>
  </r>
  <r>
    <x v="16"/>
    <x v="4"/>
    <n v="-9265"/>
  </r>
  <r>
    <x v="16"/>
    <x v="5"/>
    <n v="-19087"/>
  </r>
  <r>
    <x v="17"/>
    <x v="0"/>
    <n v="16"/>
  </r>
  <r>
    <x v="17"/>
    <x v="1"/>
    <n v="4"/>
  </r>
  <r>
    <x v="17"/>
    <x v="2"/>
    <n v="-3"/>
  </r>
  <r>
    <x v="17"/>
    <x v="3"/>
    <n v="-12"/>
  </r>
  <r>
    <x v="17"/>
    <x v="4"/>
    <n v="-101"/>
  </r>
  <r>
    <x v="17"/>
    <x v="5"/>
    <n v="-554"/>
  </r>
  <r>
    <x v="18"/>
    <x v="0"/>
    <n v="21331"/>
  </r>
  <r>
    <x v="18"/>
    <x v="1"/>
    <n v="33364"/>
  </r>
  <r>
    <x v="18"/>
    <x v="2"/>
    <n v="-2722"/>
  </r>
  <r>
    <x v="18"/>
    <x v="3"/>
    <n v="30425"/>
  </r>
  <r>
    <x v="18"/>
    <x v="4"/>
    <n v="59248"/>
  </r>
  <r>
    <x v="18"/>
    <x v="5"/>
    <n v="776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70A037-7169-4BBD-8EAC-5A2D160B3252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G11" firstHeaderRow="1" firstDataRow="2" firstDataCol="1"/>
  <pivotFields count="3">
    <pivotField axis="axisRow" showAll="0">
      <items count="20">
        <item h="1" x="16"/>
        <item x="2"/>
        <item x="3"/>
        <item h="1" x="17"/>
        <item x="4"/>
        <item x="5"/>
        <item x="6"/>
        <item x="7"/>
        <item h="1" x="15"/>
        <item h="1" x="12"/>
        <item h="1" x="11"/>
        <item h="1" x="18"/>
        <item h="1" x="0"/>
        <item h="1" x="1"/>
        <item x="10"/>
        <item h="1" x="13"/>
        <item h="1" x="8"/>
        <item h="1" x="14"/>
        <item h="1" x="9"/>
        <item t="default"/>
      </items>
    </pivotField>
    <pivotField axis="axisCol" showAll="0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1">
    <field x="0"/>
  </rowFields>
  <rowItems count="7">
    <i>
      <x v="1"/>
    </i>
    <i>
      <x v="2"/>
    </i>
    <i>
      <x v="4"/>
    </i>
    <i>
      <x v="5"/>
    </i>
    <i>
      <x v="6"/>
    </i>
    <i>
      <x v="7"/>
    </i>
    <i>
      <x v="14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USD millions" fld="2" baseField="0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579841-626B-4C45-AC50-E7DADFF06CF3}" name="PivotTable4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>
  <location ref="A36:G41" firstHeaderRow="1" firstDataRow="2" firstDataCol="1" rowPageCount="1" colPageCount="1"/>
  <pivotFields count="4">
    <pivotField axis="axisPage" showAll="0">
      <items count="4">
        <item x="0"/>
        <item x="1"/>
        <item x="2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Col" showAll="0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>
      <x v="5"/>
    </i>
  </colItems>
  <pageFields count="1">
    <pageField fld="0" item="2" hier="-1"/>
  </pageFields>
  <dataFields count="1">
    <dataField name="USD millions" fld="3" baseField="1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1DB84A-9E9C-46F8-8DC8-CBC113678A73}" name="PivotTable3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>
  <location ref="A27:G32" firstHeaderRow="1" firstDataRow="2" firstDataCol="1" rowPageCount="1" colPageCount="1"/>
  <pivotFields count="4">
    <pivotField axis="axisPage" showAll="0">
      <items count="4">
        <item x="0"/>
        <item x="1"/>
        <item x="2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Col" showAll="0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>
      <x v="5"/>
    </i>
  </colItems>
  <pageFields count="1">
    <pageField fld="0" item="0" hier="-1"/>
  </pageFields>
  <dataFields count="1">
    <dataField name="USD millions" fld="3" baseField="1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478A854A-AF86-451B-B821-715555967891}" autoFormatId="16" applyNumberFormats="0" applyBorderFormats="0" applyFontFormats="0" applyPatternFormats="0" applyAlignmentFormats="0" applyWidthHeightFormats="0">
  <queryTableRefresh nextId="6">
    <queryTableFields count="3">
      <queryTableField id="4" name="Line item" tableColumnId="4"/>
      <queryTableField id="2" name="Year" tableColumnId="2"/>
      <queryTableField id="3" name="Valu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D0886B5-5ACE-4555-9BBE-ECF8AB97C2A8}" autoFormatId="16" applyNumberFormats="0" applyBorderFormats="0" applyFontFormats="0" applyPatternFormats="0" applyAlignmentFormats="0" applyWidthHeightFormats="0">
  <queryTableRefresh nextId="7">
    <queryTableFields count="4">
      <queryTableField id="5" name="Line item" tableColumnId="5"/>
      <queryTableField id="2" name="Segment" tableColumnId="2"/>
      <queryTableField id="3" name="Year" tableColumnId="3"/>
      <queryTableField id="4" name="Value" tableColumnId="4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41302B-DE8C-49EA-9EC0-3D4C99277507}" name="Amazon_Income_Statements" displayName="Amazon_Income_Statements" ref="A4:G29" totalsRowShown="0" headerRowDxfId="3">
  <autoFilter ref="A4:G29" xr:uid="{1C41302B-DE8C-49EA-9EC0-3D4C99277507}"/>
  <tableColumns count="7">
    <tableColumn id="1" xr3:uid="{B6653C81-5D58-4568-9F77-5036C9AB0497}" name="Amazon Income Statements"/>
    <tableColumn id="2" xr3:uid="{F7938DE2-1632-48C8-ADEE-A4AECC15C5E5}" name="2020"/>
    <tableColumn id="3" xr3:uid="{1828E87A-B08C-43A4-96C5-69A593380A19}" name="2021"/>
    <tableColumn id="4" xr3:uid="{10095CF5-DDB5-4B39-A5CB-353F367708B7}" name="2022"/>
    <tableColumn id="5" xr3:uid="{7F5989E8-BFFF-4D80-BD96-F4DB454A631B}" name="2023"/>
    <tableColumn id="6" xr3:uid="{458683EA-6BCF-493A-8F19-5306C42F098C}" name="2024"/>
    <tableColumn id="7" xr3:uid="{AEC55F51-82C5-4DB3-86AE-78A805AB1739}" name="20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D0C2D6-BD5B-41C7-AB30-F96C11088B7E}" name="Amazon_Segment_Information" displayName="Amazon_Segment_Information" ref="A32:G52" totalsRowShown="0" headerRowDxfId="2">
  <autoFilter ref="A32:G52" xr:uid="{79D0C2D6-BD5B-41C7-AB30-F96C11088B7E}"/>
  <tableColumns count="7">
    <tableColumn id="1" xr3:uid="{6EEFBB53-3DAC-49D5-80B7-C18125A7CAC0}" name="Amazon Segment Information"/>
    <tableColumn id="2" xr3:uid="{C40A53D6-C765-4924-96D2-B761C6FCA4FC}" name="2020"/>
    <tableColumn id="3" xr3:uid="{1DAAD2F3-9A6A-458D-8165-FBA91800DEAA}" name="2021"/>
    <tableColumn id="4" xr3:uid="{77514157-0741-4C93-8E35-21C424055160}" name="2022"/>
    <tableColumn id="5" xr3:uid="{F775D077-660B-43AA-A014-B9A74F81A965}" name="2023"/>
    <tableColumn id="6" xr3:uid="{8FC70605-1D1B-44B6-9B5C-71F128141944}" name="2024"/>
    <tableColumn id="7" xr3:uid="{3856817E-FE5B-430D-8351-DB212AA9865C}" name="20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4005042-20B8-4E31-8E8E-7AFB28FAFF20}" name="Amazon_Income_Statements_1" displayName="Amazon_Income_Statements_1" ref="A1:C115" tableType="queryTable" totalsRowShown="0">
  <autoFilter ref="A1:C115" xr:uid="{F4005042-20B8-4E31-8E8E-7AFB28FAFF20}"/>
  <tableColumns count="3">
    <tableColumn id="4" xr3:uid="{CA27AEC4-1E61-4342-95DA-037415641EB1}" uniqueName="4" name="Line item" queryTableFieldId="4" dataDxfId="1"/>
    <tableColumn id="2" xr3:uid="{529D2844-6D41-4D17-AABB-C518D3AC3608}" uniqueName="2" name="Year" queryTableFieldId="2"/>
    <tableColumn id="3" xr3:uid="{B9EC0BE0-F6E0-424A-A903-0482BF7EFED9}" uniqueName="3" name="Value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BD87B82-B7DE-4562-ADF9-324211656146}" name="Amazon_Segment_Information_1" displayName="Amazon_Segment_Information_1" ref="A1:D55" tableType="queryTable" totalsRowShown="0">
  <autoFilter ref="A1:D55" xr:uid="{CBD87B82-B7DE-4562-ADF9-324211656146}"/>
  <tableColumns count="4">
    <tableColumn id="5" xr3:uid="{E50E7645-690F-4B78-8652-DF15127263E0}" uniqueName="5" name="Line item" queryTableFieldId="5" dataDxfId="0"/>
    <tableColumn id="2" xr3:uid="{CA878E7B-AF18-4E25-AF6A-5BFF4A1D8297}" uniqueName="2" name="Segment" queryTableFieldId="2"/>
    <tableColumn id="3" xr3:uid="{15A295F3-F83B-4B7C-9A9F-4B23F7109014}" uniqueName="3" name="Year" queryTableFieldId="3"/>
    <tableColumn id="4" xr3:uid="{6E7A7857-D5F7-4E6F-9971-A493A12AB59E}" uniqueName="4" name="Value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0D8BE3-2DA2-4D93-A648-EAEA3C38A6CF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f2b1cdb8-ae0a-40b9-bf39-e9d842f6a15e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2"/>
  <sheetViews>
    <sheetView workbookViewId="0">
      <selection activeCell="G34" sqref="G34"/>
    </sheetView>
  </sheetViews>
  <sheetFormatPr defaultRowHeight="14.25" x14ac:dyDescent="0.45"/>
  <cols>
    <col min="1" max="1" width="55.53125" bestFit="1" customWidth="1"/>
    <col min="2" max="7" width="7.6640625" bestFit="1" customWidth="1"/>
  </cols>
  <sheetData>
    <row r="1" spans="1:8" x14ac:dyDescent="0.45">
      <c r="A1" s="4" t="s">
        <v>0</v>
      </c>
      <c r="B1" s="2"/>
      <c r="C1" s="2"/>
      <c r="D1" s="2"/>
      <c r="E1" s="2"/>
      <c r="F1" s="2"/>
      <c r="G1" s="2"/>
      <c r="H1" s="2"/>
    </row>
    <row r="2" spans="1:8" x14ac:dyDescent="0.45">
      <c r="A2" s="4" t="s">
        <v>1</v>
      </c>
      <c r="B2" s="2"/>
      <c r="C2" s="2"/>
      <c r="D2" s="2"/>
      <c r="E2" s="2"/>
      <c r="F2" s="2"/>
      <c r="G2" s="2"/>
      <c r="H2" s="2"/>
    </row>
    <row r="3" spans="1:8" x14ac:dyDescent="0.45">
      <c r="A3" s="4" t="s">
        <v>2</v>
      </c>
      <c r="B3" s="2"/>
      <c r="C3" s="2"/>
      <c r="D3" s="2"/>
      <c r="E3" s="2"/>
      <c r="F3" s="2"/>
      <c r="G3" s="2"/>
      <c r="H3" s="2"/>
    </row>
    <row r="4" spans="1:8" x14ac:dyDescent="0.45">
      <c r="A4" s="3" t="s">
        <v>206</v>
      </c>
      <c r="B4" s="3" t="s">
        <v>200</v>
      </c>
      <c r="C4" s="3" t="s">
        <v>201</v>
      </c>
      <c r="D4" s="3" t="s">
        <v>202</v>
      </c>
      <c r="E4" s="3" t="s">
        <v>203</v>
      </c>
      <c r="F4" s="3" t="s">
        <v>204</v>
      </c>
      <c r="G4" s="3" t="s">
        <v>205</v>
      </c>
      <c r="H4" s="3"/>
    </row>
    <row r="5" spans="1:8" x14ac:dyDescent="0.45">
      <c r="A5" t="s">
        <v>3</v>
      </c>
      <c r="B5" t="s">
        <v>117</v>
      </c>
      <c r="C5" t="s">
        <v>118</v>
      </c>
      <c r="D5" t="s">
        <v>119</v>
      </c>
      <c r="E5" t="s">
        <v>4</v>
      </c>
      <c r="F5" t="s">
        <v>5</v>
      </c>
      <c r="G5" t="s">
        <v>6</v>
      </c>
    </row>
    <row r="6" spans="1:8" x14ac:dyDescent="0.45">
      <c r="A6" t="s">
        <v>7</v>
      </c>
      <c r="B6" t="s">
        <v>120</v>
      </c>
      <c r="C6" t="s">
        <v>121</v>
      </c>
      <c r="D6" t="s">
        <v>122</v>
      </c>
      <c r="E6" t="s">
        <v>8</v>
      </c>
      <c r="F6" t="s">
        <v>9</v>
      </c>
      <c r="G6" t="s">
        <v>10</v>
      </c>
    </row>
    <row r="7" spans="1:8" x14ac:dyDescent="0.45">
      <c r="A7" t="s">
        <v>11</v>
      </c>
      <c r="B7" t="s">
        <v>123</v>
      </c>
      <c r="C7" t="s">
        <v>124</v>
      </c>
      <c r="D7" t="s">
        <v>125</v>
      </c>
      <c r="E7" t="s">
        <v>12</v>
      </c>
      <c r="F7" t="s">
        <v>13</v>
      </c>
      <c r="G7" s="10" t="s">
        <v>14</v>
      </c>
    </row>
    <row r="8" spans="1:8" x14ac:dyDescent="0.45">
      <c r="A8" t="s">
        <v>15</v>
      </c>
    </row>
    <row r="9" spans="1:8" x14ac:dyDescent="0.45">
      <c r="A9" t="s">
        <v>16</v>
      </c>
      <c r="B9" t="s">
        <v>126</v>
      </c>
      <c r="C9" t="s">
        <v>127</v>
      </c>
      <c r="D9" t="s">
        <v>128</v>
      </c>
      <c r="E9" t="s">
        <v>17</v>
      </c>
      <c r="F9" t="s">
        <v>18</v>
      </c>
      <c r="G9" t="s">
        <v>19</v>
      </c>
    </row>
    <row r="10" spans="1:8" x14ac:dyDescent="0.45">
      <c r="A10" t="s">
        <v>20</v>
      </c>
      <c r="B10" t="s">
        <v>129</v>
      </c>
      <c r="C10" t="s">
        <v>130</v>
      </c>
      <c r="D10" t="s">
        <v>131</v>
      </c>
      <c r="E10" t="s">
        <v>21</v>
      </c>
      <c r="F10" t="s">
        <v>22</v>
      </c>
      <c r="G10" t="s">
        <v>23</v>
      </c>
    </row>
    <row r="11" spans="1:8" x14ac:dyDescent="0.45">
      <c r="A11" t="s">
        <v>24</v>
      </c>
      <c r="B11" t="s">
        <v>132</v>
      </c>
      <c r="C11" t="s">
        <v>133</v>
      </c>
      <c r="D11" t="s">
        <v>134</v>
      </c>
      <c r="E11" t="s">
        <v>25</v>
      </c>
      <c r="F11" t="s">
        <v>26</v>
      </c>
      <c r="G11" t="s">
        <v>27</v>
      </c>
    </row>
    <row r="12" spans="1:8" x14ac:dyDescent="0.45">
      <c r="A12" t="s">
        <v>28</v>
      </c>
      <c r="B12" t="s">
        <v>135</v>
      </c>
      <c r="C12" t="s">
        <v>136</v>
      </c>
      <c r="D12" t="s">
        <v>137</v>
      </c>
      <c r="E12" t="s">
        <v>29</v>
      </c>
      <c r="F12" t="s">
        <v>30</v>
      </c>
      <c r="G12" t="s">
        <v>31</v>
      </c>
    </row>
    <row r="13" spans="1:8" x14ac:dyDescent="0.45">
      <c r="A13" t="s">
        <v>32</v>
      </c>
      <c r="B13" t="s">
        <v>138</v>
      </c>
      <c r="C13" t="s">
        <v>139</v>
      </c>
      <c r="D13" t="s">
        <v>140</v>
      </c>
      <c r="E13" t="s">
        <v>33</v>
      </c>
      <c r="F13" t="s">
        <v>34</v>
      </c>
      <c r="G13" t="s">
        <v>35</v>
      </c>
    </row>
    <row r="14" spans="1:8" x14ac:dyDescent="0.45">
      <c r="A14" t="s">
        <v>36</v>
      </c>
      <c r="B14" s="11">
        <v>-75</v>
      </c>
      <c r="C14" t="s">
        <v>141</v>
      </c>
      <c r="D14" t="s">
        <v>142</v>
      </c>
      <c r="E14" t="s">
        <v>37</v>
      </c>
      <c r="F14" t="s">
        <v>38</v>
      </c>
      <c r="G14" t="s">
        <v>39</v>
      </c>
    </row>
    <row r="15" spans="1:8" x14ac:dyDescent="0.45">
      <c r="A15" t="s">
        <v>40</v>
      </c>
      <c r="B15" t="s">
        <v>143</v>
      </c>
      <c r="C15" t="s">
        <v>144</v>
      </c>
      <c r="D15" t="s">
        <v>145</v>
      </c>
      <c r="E15" t="s">
        <v>41</v>
      </c>
      <c r="F15" t="s">
        <v>42</v>
      </c>
      <c r="G15" t="s">
        <v>43</v>
      </c>
    </row>
    <row r="16" spans="1:8" x14ac:dyDescent="0.45">
      <c r="A16" t="s">
        <v>44</v>
      </c>
      <c r="B16" t="s">
        <v>146</v>
      </c>
      <c r="C16" t="s">
        <v>147</v>
      </c>
      <c r="D16" t="s">
        <v>148</v>
      </c>
      <c r="E16" t="s">
        <v>45</v>
      </c>
      <c r="F16" t="s">
        <v>46</v>
      </c>
      <c r="G16" t="s">
        <v>47</v>
      </c>
    </row>
    <row r="17" spans="1:8" x14ac:dyDescent="0.45">
      <c r="A17" t="s">
        <v>48</v>
      </c>
      <c r="B17" t="s">
        <v>149</v>
      </c>
      <c r="C17" t="s">
        <v>150</v>
      </c>
      <c r="D17" t="s">
        <v>151</v>
      </c>
      <c r="E17" t="s">
        <v>49</v>
      </c>
      <c r="F17" t="s">
        <v>50</v>
      </c>
      <c r="G17" t="s">
        <v>51</v>
      </c>
    </row>
    <row r="18" spans="1:8" x14ac:dyDescent="0.45">
      <c r="A18" t="s">
        <v>52</v>
      </c>
      <c r="B18" s="1">
        <v>-1647</v>
      </c>
      <c r="C18" s="1">
        <v>-1809</v>
      </c>
      <c r="D18" s="1">
        <v>-2367</v>
      </c>
      <c r="E18" s="1">
        <v>-3182</v>
      </c>
      <c r="F18" s="1">
        <v>-2406</v>
      </c>
      <c r="G18" s="1">
        <v>-2274</v>
      </c>
    </row>
    <row r="19" spans="1:8" x14ac:dyDescent="0.45">
      <c r="A19" t="s">
        <v>53</v>
      </c>
      <c r="B19" t="s">
        <v>152</v>
      </c>
      <c r="C19" t="s">
        <v>153</v>
      </c>
      <c r="D19" s="1">
        <v>-16806</v>
      </c>
      <c r="E19" t="s">
        <v>54</v>
      </c>
      <c r="F19" s="1">
        <v>-2250</v>
      </c>
      <c r="G19" t="s">
        <v>55</v>
      </c>
    </row>
    <row r="20" spans="1:8" x14ac:dyDescent="0.45">
      <c r="A20" t="s">
        <v>154</v>
      </c>
      <c r="B20" t="s">
        <v>155</v>
      </c>
      <c r="C20" t="s">
        <v>156</v>
      </c>
      <c r="D20" s="1">
        <v>-18184</v>
      </c>
      <c r="E20" t="s">
        <v>56</v>
      </c>
      <c r="F20" t="s">
        <v>57</v>
      </c>
      <c r="G20" t="s">
        <v>58</v>
      </c>
    </row>
    <row r="21" spans="1:8" x14ac:dyDescent="0.45">
      <c r="A21" t="s">
        <v>157</v>
      </c>
      <c r="B21" t="s">
        <v>158</v>
      </c>
      <c r="C21" t="s">
        <v>159</v>
      </c>
      <c r="D21" s="1">
        <v>-5936</v>
      </c>
      <c r="E21" t="s">
        <v>59</v>
      </c>
      <c r="F21" t="s">
        <v>60</v>
      </c>
      <c r="G21" t="s">
        <v>61</v>
      </c>
    </row>
    <row r="22" spans="1:8" x14ac:dyDescent="0.45">
      <c r="A22" t="s">
        <v>160</v>
      </c>
      <c r="B22" s="1">
        <v>-2863</v>
      </c>
      <c r="C22" s="1">
        <v>-4791</v>
      </c>
      <c r="D22" t="s">
        <v>161</v>
      </c>
      <c r="E22" s="1">
        <v>-7120</v>
      </c>
      <c r="F22" s="1">
        <v>-9265</v>
      </c>
      <c r="G22" s="1">
        <v>-19087</v>
      </c>
    </row>
    <row r="23" spans="1:8" x14ac:dyDescent="0.45">
      <c r="A23" t="s">
        <v>62</v>
      </c>
      <c r="B23" t="s">
        <v>162</v>
      </c>
      <c r="C23" t="s">
        <v>163</v>
      </c>
      <c r="D23">
        <v>-3</v>
      </c>
      <c r="E23">
        <v>-12</v>
      </c>
      <c r="F23">
        <v>-101</v>
      </c>
      <c r="G23">
        <v>-554</v>
      </c>
    </row>
    <row r="24" spans="1:8" x14ac:dyDescent="0.45">
      <c r="A24" t="s">
        <v>164</v>
      </c>
      <c r="B24" t="s">
        <v>165</v>
      </c>
      <c r="C24" t="s">
        <v>166</v>
      </c>
      <c r="D24" s="1">
        <v>-2722</v>
      </c>
      <c r="E24" t="s">
        <v>63</v>
      </c>
      <c r="F24" t="s">
        <v>64</v>
      </c>
      <c r="G24" t="s">
        <v>65</v>
      </c>
    </row>
    <row r="25" spans="1:8" x14ac:dyDescent="0.45">
      <c r="A25" t="s">
        <v>66</v>
      </c>
      <c r="B25" t="s">
        <v>167</v>
      </c>
      <c r="C25" t="s">
        <v>168</v>
      </c>
      <c r="D25">
        <v>-0.27</v>
      </c>
      <c r="E25" t="s">
        <v>67</v>
      </c>
      <c r="F25" t="s">
        <v>68</v>
      </c>
      <c r="G25" t="s">
        <v>69</v>
      </c>
    </row>
    <row r="26" spans="1:8" x14ac:dyDescent="0.45">
      <c r="A26" t="s">
        <v>70</v>
      </c>
      <c r="B26" t="s">
        <v>169</v>
      </c>
      <c r="C26" t="s">
        <v>170</v>
      </c>
      <c r="D26">
        <v>-0.27</v>
      </c>
      <c r="E26" t="s">
        <v>71</v>
      </c>
      <c r="F26" t="s">
        <v>72</v>
      </c>
      <c r="G26" t="s">
        <v>73</v>
      </c>
    </row>
    <row r="27" spans="1:8" x14ac:dyDescent="0.45">
      <c r="A27" t="s">
        <v>74</v>
      </c>
    </row>
    <row r="28" spans="1:8" x14ac:dyDescent="0.45">
      <c r="A28" t="s">
        <v>75</v>
      </c>
      <c r="B28" t="s">
        <v>171</v>
      </c>
      <c r="C28" t="s">
        <v>172</v>
      </c>
      <c r="D28" t="s">
        <v>173</v>
      </c>
      <c r="E28" t="s">
        <v>76</v>
      </c>
      <c r="F28" t="s">
        <v>77</v>
      </c>
      <c r="G28" t="s">
        <v>78</v>
      </c>
    </row>
    <row r="29" spans="1:8" x14ac:dyDescent="0.45">
      <c r="A29" t="s">
        <v>79</v>
      </c>
      <c r="B29" t="s">
        <v>174</v>
      </c>
      <c r="C29" t="s">
        <v>175</v>
      </c>
      <c r="D29" t="s">
        <v>173</v>
      </c>
      <c r="E29" t="s">
        <v>80</v>
      </c>
      <c r="F29" t="s">
        <v>81</v>
      </c>
      <c r="G29" t="s">
        <v>82</v>
      </c>
    </row>
    <row r="31" spans="1:8" x14ac:dyDescent="0.45">
      <c r="A31" s="4" t="s">
        <v>116</v>
      </c>
      <c r="E31" s="2"/>
      <c r="F31" s="2"/>
      <c r="G31" s="2"/>
      <c r="H31" s="2"/>
    </row>
    <row r="32" spans="1:8" x14ac:dyDescent="0.45">
      <c r="A32" s="3" t="s">
        <v>207</v>
      </c>
      <c r="B32" s="3" t="s">
        <v>200</v>
      </c>
      <c r="C32" s="3" t="s">
        <v>201</v>
      </c>
      <c r="D32" s="3" t="s">
        <v>202</v>
      </c>
      <c r="E32" s="3" t="s">
        <v>203</v>
      </c>
      <c r="F32" s="3" t="s">
        <v>204</v>
      </c>
      <c r="G32" s="3" t="s">
        <v>205</v>
      </c>
      <c r="H32" s="3"/>
    </row>
    <row r="33" spans="1:7" x14ac:dyDescent="0.45">
      <c r="A33" s="2" t="s">
        <v>83</v>
      </c>
    </row>
    <row r="34" spans="1:7" x14ac:dyDescent="0.45">
      <c r="A34" t="s">
        <v>84</v>
      </c>
      <c r="B34" t="s">
        <v>176</v>
      </c>
      <c r="C34" t="s">
        <v>177</v>
      </c>
      <c r="D34" t="s">
        <v>178</v>
      </c>
      <c r="E34" t="s">
        <v>85</v>
      </c>
      <c r="F34" t="s">
        <v>86</v>
      </c>
      <c r="G34" s="12" t="s">
        <v>87</v>
      </c>
    </row>
    <row r="35" spans="1:7" x14ac:dyDescent="0.45">
      <c r="A35" t="s">
        <v>88</v>
      </c>
      <c r="B35" t="s">
        <v>179</v>
      </c>
      <c r="C35" t="s">
        <v>180</v>
      </c>
      <c r="D35" t="s">
        <v>181</v>
      </c>
      <c r="E35" t="s">
        <v>89</v>
      </c>
      <c r="F35" t="s">
        <v>90</v>
      </c>
      <c r="G35" t="s">
        <v>91</v>
      </c>
    </row>
    <row r="36" spans="1:7" x14ac:dyDescent="0.45">
      <c r="A36" t="s">
        <v>102</v>
      </c>
      <c r="B36" t="s">
        <v>182</v>
      </c>
      <c r="C36" t="s">
        <v>183</v>
      </c>
      <c r="D36" s="1">
        <v>-2847</v>
      </c>
      <c r="E36" t="s">
        <v>92</v>
      </c>
      <c r="F36" t="s">
        <v>93</v>
      </c>
      <c r="G36" t="s">
        <v>94</v>
      </c>
    </row>
    <row r="37" spans="1:7" x14ac:dyDescent="0.45">
      <c r="A37" s="2" t="s">
        <v>95</v>
      </c>
    </row>
    <row r="38" spans="1:7" x14ac:dyDescent="0.45">
      <c r="A38" t="s">
        <v>84</v>
      </c>
      <c r="B38" t="s">
        <v>184</v>
      </c>
      <c r="C38" t="s">
        <v>185</v>
      </c>
      <c r="D38" t="s">
        <v>186</v>
      </c>
      <c r="E38" t="s">
        <v>96</v>
      </c>
      <c r="F38" t="s">
        <v>97</v>
      </c>
      <c r="G38" t="s">
        <v>98</v>
      </c>
    </row>
    <row r="39" spans="1:7" x14ac:dyDescent="0.45">
      <c r="A39" t="s">
        <v>88</v>
      </c>
      <c r="B39" t="s">
        <v>187</v>
      </c>
      <c r="C39" t="s">
        <v>188</v>
      </c>
      <c r="D39" t="s">
        <v>189</v>
      </c>
      <c r="E39" t="s">
        <v>99</v>
      </c>
      <c r="F39" t="s">
        <v>100</v>
      </c>
      <c r="G39" t="s">
        <v>101</v>
      </c>
    </row>
    <row r="40" spans="1:7" x14ac:dyDescent="0.45">
      <c r="A40" t="s">
        <v>102</v>
      </c>
      <c r="B40" t="s">
        <v>190</v>
      </c>
      <c r="C40">
        <v>-924</v>
      </c>
      <c r="D40" s="1">
        <v>-7746</v>
      </c>
      <c r="E40" s="1">
        <v>-2656</v>
      </c>
      <c r="F40" t="s">
        <v>103</v>
      </c>
      <c r="G40" t="s">
        <v>104</v>
      </c>
    </row>
    <row r="41" spans="1:7" x14ac:dyDescent="0.45">
      <c r="A41" s="2" t="s">
        <v>105</v>
      </c>
    </row>
    <row r="42" spans="1:7" x14ac:dyDescent="0.45">
      <c r="A42" t="s">
        <v>84</v>
      </c>
      <c r="B42" t="s">
        <v>191</v>
      </c>
      <c r="C42" t="s">
        <v>192</v>
      </c>
      <c r="D42" t="s">
        <v>193</v>
      </c>
      <c r="E42" t="s">
        <v>106</v>
      </c>
      <c r="F42" t="s">
        <v>107</v>
      </c>
      <c r="G42" t="s">
        <v>108</v>
      </c>
    </row>
    <row r="43" spans="1:7" x14ac:dyDescent="0.45">
      <c r="A43" t="s">
        <v>88</v>
      </c>
      <c r="B43" t="s">
        <v>194</v>
      </c>
      <c r="C43" t="s">
        <v>195</v>
      </c>
      <c r="D43" t="s">
        <v>196</v>
      </c>
      <c r="E43" t="s">
        <v>109</v>
      </c>
      <c r="F43" t="s">
        <v>110</v>
      </c>
      <c r="G43" t="s">
        <v>111</v>
      </c>
    </row>
    <row r="44" spans="1:7" x14ac:dyDescent="0.45">
      <c r="A44" t="s">
        <v>44</v>
      </c>
      <c r="B44" t="s">
        <v>197</v>
      </c>
      <c r="C44" t="s">
        <v>198</v>
      </c>
      <c r="D44" t="s">
        <v>199</v>
      </c>
      <c r="E44" t="s">
        <v>112</v>
      </c>
      <c r="F44" t="s">
        <v>113</v>
      </c>
      <c r="G44" t="s">
        <v>114</v>
      </c>
    </row>
    <row r="45" spans="1:7" x14ac:dyDescent="0.45">
      <c r="A45" s="2" t="s">
        <v>115</v>
      </c>
    </row>
    <row r="46" spans="1:7" x14ac:dyDescent="0.45">
      <c r="A46" t="s">
        <v>84</v>
      </c>
      <c r="B46" t="s">
        <v>123</v>
      </c>
      <c r="C46" t="s">
        <v>124</v>
      </c>
      <c r="D46" t="s">
        <v>125</v>
      </c>
      <c r="E46" t="s">
        <v>12</v>
      </c>
      <c r="F46" t="s">
        <v>13</v>
      </c>
      <c r="G46" t="s">
        <v>14</v>
      </c>
    </row>
    <row r="47" spans="1:7" x14ac:dyDescent="0.45">
      <c r="A47" t="s">
        <v>88</v>
      </c>
      <c r="B47" t="s">
        <v>143</v>
      </c>
      <c r="C47" t="s">
        <v>144</v>
      </c>
      <c r="D47" t="s">
        <v>145</v>
      </c>
      <c r="E47" t="s">
        <v>41</v>
      </c>
      <c r="F47" t="s">
        <v>42</v>
      </c>
      <c r="G47" t="s">
        <v>43</v>
      </c>
    </row>
    <row r="48" spans="1:7" x14ac:dyDescent="0.45">
      <c r="A48" t="s">
        <v>44</v>
      </c>
      <c r="B48" t="s">
        <v>146</v>
      </c>
      <c r="C48" t="s">
        <v>147</v>
      </c>
      <c r="D48" t="s">
        <v>148</v>
      </c>
      <c r="E48" t="s">
        <v>45</v>
      </c>
      <c r="F48" t="s">
        <v>46</v>
      </c>
      <c r="G48" t="s">
        <v>47</v>
      </c>
    </row>
    <row r="49" spans="1:7" x14ac:dyDescent="0.45">
      <c r="A49" t="s">
        <v>154</v>
      </c>
      <c r="B49" t="s">
        <v>155</v>
      </c>
      <c r="C49" t="s">
        <v>156</v>
      </c>
      <c r="D49" s="1">
        <v>-18184</v>
      </c>
      <c r="E49" t="s">
        <v>56</v>
      </c>
      <c r="F49" t="s">
        <v>57</v>
      </c>
      <c r="G49" t="s">
        <v>58</v>
      </c>
    </row>
    <row r="50" spans="1:7" x14ac:dyDescent="0.45">
      <c r="A50" t="s">
        <v>160</v>
      </c>
      <c r="B50" s="1">
        <v>-2863</v>
      </c>
      <c r="C50" s="1">
        <v>-4791</v>
      </c>
      <c r="D50" t="s">
        <v>161</v>
      </c>
      <c r="E50" s="1">
        <v>-7120</v>
      </c>
      <c r="F50" s="1">
        <v>-9265</v>
      </c>
      <c r="G50" s="1">
        <v>-19087</v>
      </c>
    </row>
    <row r="51" spans="1:7" x14ac:dyDescent="0.45">
      <c r="A51" t="s">
        <v>62</v>
      </c>
      <c r="B51" t="s">
        <v>162</v>
      </c>
      <c r="C51" t="s">
        <v>163</v>
      </c>
      <c r="D51">
        <v>-3</v>
      </c>
      <c r="E51">
        <v>-12</v>
      </c>
      <c r="F51">
        <v>-101</v>
      </c>
      <c r="G51">
        <v>-554</v>
      </c>
    </row>
    <row r="52" spans="1:7" x14ac:dyDescent="0.45">
      <c r="A52" t="s">
        <v>164</v>
      </c>
      <c r="B52" t="s">
        <v>165</v>
      </c>
      <c r="C52" t="s">
        <v>166</v>
      </c>
      <c r="D52" s="1">
        <v>-2722</v>
      </c>
      <c r="E52" t="s">
        <v>63</v>
      </c>
      <c r="F52" t="s">
        <v>64</v>
      </c>
      <c r="G52" t="s">
        <v>65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2BD56-016D-415F-B8E7-D5129EC023B3}">
  <sheetPr codeName="Sheet2"/>
  <dimension ref="A1:C115"/>
  <sheetViews>
    <sheetView workbookViewId="0">
      <selection activeCell="A2" sqref="A2:C115"/>
    </sheetView>
  </sheetViews>
  <sheetFormatPr defaultRowHeight="14.25" x14ac:dyDescent="0.45"/>
  <cols>
    <col min="1" max="1" width="36.796875" bestFit="1" customWidth="1"/>
    <col min="2" max="2" width="6.53125" bestFit="1" customWidth="1"/>
    <col min="3" max="4" width="7.53125" bestFit="1" customWidth="1"/>
  </cols>
  <sheetData>
    <row r="1" spans="1:3" x14ac:dyDescent="0.45">
      <c r="A1" t="s">
        <v>211</v>
      </c>
      <c r="B1" t="s">
        <v>208</v>
      </c>
      <c r="C1" t="s">
        <v>209</v>
      </c>
    </row>
    <row r="2" spans="1:3" x14ac:dyDescent="0.45">
      <c r="A2" t="s">
        <v>3</v>
      </c>
      <c r="B2">
        <v>2020</v>
      </c>
      <c r="C2">
        <v>215915</v>
      </c>
    </row>
    <row r="3" spans="1:3" x14ac:dyDescent="0.45">
      <c r="A3" t="s">
        <v>3</v>
      </c>
      <c r="B3">
        <v>2021</v>
      </c>
      <c r="C3">
        <v>241787</v>
      </c>
    </row>
    <row r="4" spans="1:3" x14ac:dyDescent="0.45">
      <c r="A4" t="s">
        <v>3</v>
      </c>
      <c r="B4">
        <v>2022</v>
      </c>
      <c r="C4">
        <v>242901</v>
      </c>
    </row>
    <row r="5" spans="1:3" x14ac:dyDescent="0.45">
      <c r="A5" t="s">
        <v>3</v>
      </c>
      <c r="B5">
        <v>2023</v>
      </c>
      <c r="C5">
        <v>255887</v>
      </c>
    </row>
    <row r="6" spans="1:3" x14ac:dyDescent="0.45">
      <c r="A6" t="s">
        <v>3</v>
      </c>
      <c r="B6">
        <v>2024</v>
      </c>
      <c r="C6">
        <v>272311</v>
      </c>
    </row>
    <row r="7" spans="1:3" x14ac:dyDescent="0.45">
      <c r="A7" t="s">
        <v>3</v>
      </c>
      <c r="B7">
        <v>2025</v>
      </c>
      <c r="C7">
        <v>296266</v>
      </c>
    </row>
    <row r="8" spans="1:3" x14ac:dyDescent="0.45">
      <c r="A8" t="s">
        <v>7</v>
      </c>
      <c r="B8">
        <v>2020</v>
      </c>
      <c r="C8">
        <v>170149</v>
      </c>
    </row>
    <row r="9" spans="1:3" x14ac:dyDescent="0.45">
      <c r="A9" t="s">
        <v>7</v>
      </c>
      <c r="B9">
        <v>2021</v>
      </c>
      <c r="C9">
        <v>228035</v>
      </c>
    </row>
    <row r="10" spans="1:3" x14ac:dyDescent="0.45">
      <c r="A10" t="s">
        <v>7</v>
      </c>
      <c r="B10">
        <v>2022</v>
      </c>
      <c r="C10">
        <v>271082</v>
      </c>
    </row>
    <row r="11" spans="1:3" x14ac:dyDescent="0.45">
      <c r="A11" t="s">
        <v>7</v>
      </c>
      <c r="B11">
        <v>2023</v>
      </c>
      <c r="C11">
        <v>318898</v>
      </c>
    </row>
    <row r="12" spans="1:3" x14ac:dyDescent="0.45">
      <c r="A12" t="s">
        <v>7</v>
      </c>
      <c r="B12">
        <v>2024</v>
      </c>
      <c r="C12">
        <v>365648</v>
      </c>
    </row>
    <row r="13" spans="1:3" x14ac:dyDescent="0.45">
      <c r="A13" t="s">
        <v>7</v>
      </c>
      <c r="B13">
        <v>2025</v>
      </c>
      <c r="C13">
        <v>420658</v>
      </c>
    </row>
    <row r="14" spans="1:3" x14ac:dyDescent="0.45">
      <c r="A14" t="s">
        <v>11</v>
      </c>
      <c r="B14">
        <v>2020</v>
      </c>
      <c r="C14">
        <v>386064</v>
      </c>
    </row>
    <row r="15" spans="1:3" x14ac:dyDescent="0.45">
      <c r="A15" t="s">
        <v>11</v>
      </c>
      <c r="B15">
        <v>2021</v>
      </c>
      <c r="C15">
        <v>469822</v>
      </c>
    </row>
    <row r="16" spans="1:3" x14ac:dyDescent="0.45">
      <c r="A16" t="s">
        <v>11</v>
      </c>
      <c r="B16">
        <v>2022</v>
      </c>
      <c r="C16">
        <v>513983</v>
      </c>
    </row>
    <row r="17" spans="1:3" x14ac:dyDescent="0.45">
      <c r="A17" t="s">
        <v>11</v>
      </c>
      <c r="B17">
        <v>2023</v>
      </c>
      <c r="C17">
        <v>574785</v>
      </c>
    </row>
    <row r="18" spans="1:3" x14ac:dyDescent="0.45">
      <c r="A18" t="s">
        <v>11</v>
      </c>
      <c r="B18">
        <v>2024</v>
      </c>
      <c r="C18">
        <v>637959</v>
      </c>
    </row>
    <row r="19" spans="1:3" x14ac:dyDescent="0.45">
      <c r="A19" t="s">
        <v>11</v>
      </c>
      <c r="B19">
        <v>2025</v>
      </c>
      <c r="C19">
        <v>716924</v>
      </c>
    </row>
    <row r="20" spans="1:3" x14ac:dyDescent="0.45">
      <c r="A20" t="s">
        <v>16</v>
      </c>
      <c r="B20">
        <v>2020</v>
      </c>
      <c r="C20">
        <v>233307</v>
      </c>
    </row>
    <row r="21" spans="1:3" x14ac:dyDescent="0.45">
      <c r="A21" t="s">
        <v>16</v>
      </c>
      <c r="B21">
        <v>2021</v>
      </c>
      <c r="C21">
        <v>272344</v>
      </c>
    </row>
    <row r="22" spans="1:3" x14ac:dyDescent="0.45">
      <c r="A22" t="s">
        <v>16</v>
      </c>
      <c r="B22">
        <v>2022</v>
      </c>
      <c r="C22">
        <v>288831</v>
      </c>
    </row>
    <row r="23" spans="1:3" x14ac:dyDescent="0.45">
      <c r="A23" t="s">
        <v>16</v>
      </c>
      <c r="B23">
        <v>2023</v>
      </c>
      <c r="C23">
        <v>304739</v>
      </c>
    </row>
    <row r="24" spans="1:3" x14ac:dyDescent="0.45">
      <c r="A24" t="s">
        <v>16</v>
      </c>
      <c r="B24">
        <v>2024</v>
      </c>
      <c r="C24">
        <v>326288</v>
      </c>
    </row>
    <row r="25" spans="1:3" x14ac:dyDescent="0.45">
      <c r="A25" t="s">
        <v>16</v>
      </c>
      <c r="B25">
        <v>2025</v>
      </c>
      <c r="C25">
        <v>356414</v>
      </c>
    </row>
    <row r="26" spans="1:3" x14ac:dyDescent="0.45">
      <c r="A26" t="s">
        <v>20</v>
      </c>
      <c r="B26">
        <v>2020</v>
      </c>
      <c r="C26">
        <v>58517</v>
      </c>
    </row>
    <row r="27" spans="1:3" x14ac:dyDescent="0.45">
      <c r="A27" t="s">
        <v>20</v>
      </c>
      <c r="B27">
        <v>2021</v>
      </c>
      <c r="C27">
        <v>75111</v>
      </c>
    </row>
    <row r="28" spans="1:3" x14ac:dyDescent="0.45">
      <c r="A28" t="s">
        <v>20</v>
      </c>
      <c r="B28">
        <v>2022</v>
      </c>
      <c r="C28">
        <v>84299</v>
      </c>
    </row>
    <row r="29" spans="1:3" x14ac:dyDescent="0.45">
      <c r="A29" t="s">
        <v>20</v>
      </c>
      <c r="B29">
        <v>2023</v>
      </c>
      <c r="C29">
        <v>90619</v>
      </c>
    </row>
    <row r="30" spans="1:3" x14ac:dyDescent="0.45">
      <c r="A30" t="s">
        <v>20</v>
      </c>
      <c r="B30">
        <v>2024</v>
      </c>
      <c r="C30">
        <v>98505</v>
      </c>
    </row>
    <row r="31" spans="1:3" x14ac:dyDescent="0.45">
      <c r="A31" t="s">
        <v>20</v>
      </c>
      <c r="B31">
        <v>2025</v>
      </c>
      <c r="C31">
        <v>109074</v>
      </c>
    </row>
    <row r="32" spans="1:3" x14ac:dyDescent="0.45">
      <c r="A32" t="s">
        <v>24</v>
      </c>
      <c r="B32">
        <v>2020</v>
      </c>
      <c r="C32">
        <v>42740</v>
      </c>
    </row>
    <row r="33" spans="1:3" x14ac:dyDescent="0.45">
      <c r="A33" t="s">
        <v>24</v>
      </c>
      <c r="B33">
        <v>2021</v>
      </c>
      <c r="C33">
        <v>56052</v>
      </c>
    </row>
    <row r="34" spans="1:3" x14ac:dyDescent="0.45">
      <c r="A34" t="s">
        <v>24</v>
      </c>
      <c r="B34">
        <v>2022</v>
      </c>
      <c r="C34">
        <v>73213</v>
      </c>
    </row>
    <row r="35" spans="1:3" x14ac:dyDescent="0.45">
      <c r="A35" t="s">
        <v>24</v>
      </c>
      <c r="B35">
        <v>2023</v>
      </c>
      <c r="C35">
        <v>85622</v>
      </c>
    </row>
    <row r="36" spans="1:3" x14ac:dyDescent="0.45">
      <c r="A36" t="s">
        <v>24</v>
      </c>
      <c r="B36">
        <v>2024</v>
      </c>
      <c r="C36">
        <v>88544</v>
      </c>
    </row>
    <row r="37" spans="1:3" x14ac:dyDescent="0.45">
      <c r="A37" t="s">
        <v>24</v>
      </c>
      <c r="B37">
        <v>2025</v>
      </c>
      <c r="C37">
        <v>108521</v>
      </c>
    </row>
    <row r="38" spans="1:3" x14ac:dyDescent="0.45">
      <c r="A38" t="s">
        <v>28</v>
      </c>
      <c r="B38">
        <v>2020</v>
      </c>
      <c r="C38">
        <v>22008</v>
      </c>
    </row>
    <row r="39" spans="1:3" x14ac:dyDescent="0.45">
      <c r="A39" t="s">
        <v>28</v>
      </c>
      <c r="B39">
        <v>2021</v>
      </c>
      <c r="C39">
        <v>32551</v>
      </c>
    </row>
    <row r="40" spans="1:3" x14ac:dyDescent="0.45">
      <c r="A40" t="s">
        <v>28</v>
      </c>
      <c r="B40">
        <v>2022</v>
      </c>
      <c r="C40">
        <v>42238</v>
      </c>
    </row>
    <row r="41" spans="1:3" x14ac:dyDescent="0.45">
      <c r="A41" t="s">
        <v>28</v>
      </c>
      <c r="B41">
        <v>2023</v>
      </c>
      <c r="C41">
        <v>44370</v>
      </c>
    </row>
    <row r="42" spans="1:3" x14ac:dyDescent="0.45">
      <c r="A42" t="s">
        <v>28</v>
      </c>
      <c r="B42">
        <v>2024</v>
      </c>
      <c r="C42">
        <v>43907</v>
      </c>
    </row>
    <row r="43" spans="1:3" x14ac:dyDescent="0.45">
      <c r="A43" t="s">
        <v>28</v>
      </c>
      <c r="B43">
        <v>2025</v>
      </c>
      <c r="C43">
        <v>47129</v>
      </c>
    </row>
    <row r="44" spans="1:3" x14ac:dyDescent="0.45">
      <c r="A44" t="s">
        <v>32</v>
      </c>
      <c r="B44">
        <v>2020</v>
      </c>
      <c r="C44">
        <v>6668</v>
      </c>
    </row>
    <row r="45" spans="1:3" x14ac:dyDescent="0.45">
      <c r="A45" t="s">
        <v>32</v>
      </c>
      <c r="B45">
        <v>2021</v>
      </c>
      <c r="C45">
        <v>8823</v>
      </c>
    </row>
    <row r="46" spans="1:3" x14ac:dyDescent="0.45">
      <c r="A46" t="s">
        <v>32</v>
      </c>
      <c r="B46">
        <v>2022</v>
      </c>
      <c r="C46">
        <v>11891</v>
      </c>
    </row>
    <row r="47" spans="1:3" x14ac:dyDescent="0.45">
      <c r="A47" t="s">
        <v>32</v>
      </c>
      <c r="B47">
        <v>2023</v>
      </c>
      <c r="C47">
        <v>11816</v>
      </c>
    </row>
    <row r="48" spans="1:3" x14ac:dyDescent="0.45">
      <c r="A48" t="s">
        <v>32</v>
      </c>
      <c r="B48">
        <v>2024</v>
      </c>
      <c r="C48">
        <v>11359</v>
      </c>
    </row>
    <row r="49" spans="1:3" x14ac:dyDescent="0.45">
      <c r="A49" t="s">
        <v>32</v>
      </c>
      <c r="B49">
        <v>2025</v>
      </c>
      <c r="C49">
        <v>11172</v>
      </c>
    </row>
    <row r="50" spans="1:3" x14ac:dyDescent="0.45">
      <c r="A50" t="s">
        <v>36</v>
      </c>
      <c r="B50">
        <v>2020</v>
      </c>
      <c r="C50">
        <v>-75</v>
      </c>
    </row>
    <row r="51" spans="1:3" x14ac:dyDescent="0.45">
      <c r="A51" t="s">
        <v>36</v>
      </c>
      <c r="B51">
        <v>2021</v>
      </c>
      <c r="C51">
        <v>62</v>
      </c>
    </row>
    <row r="52" spans="1:3" x14ac:dyDescent="0.45">
      <c r="A52" t="s">
        <v>36</v>
      </c>
      <c r="B52">
        <v>2022</v>
      </c>
      <c r="C52">
        <v>1263</v>
      </c>
    </row>
    <row r="53" spans="1:3" x14ac:dyDescent="0.45">
      <c r="A53" t="s">
        <v>36</v>
      </c>
      <c r="B53">
        <v>2023</v>
      </c>
      <c r="C53">
        <v>767</v>
      </c>
    </row>
    <row r="54" spans="1:3" x14ac:dyDescent="0.45">
      <c r="A54" t="s">
        <v>36</v>
      </c>
      <c r="B54">
        <v>2024</v>
      </c>
      <c r="C54">
        <v>763</v>
      </c>
    </row>
    <row r="55" spans="1:3" x14ac:dyDescent="0.45">
      <c r="A55" t="s">
        <v>36</v>
      </c>
      <c r="B55">
        <v>2025</v>
      </c>
      <c r="C55">
        <v>4639</v>
      </c>
    </row>
    <row r="56" spans="1:3" x14ac:dyDescent="0.45">
      <c r="A56" t="s">
        <v>40</v>
      </c>
      <c r="B56">
        <v>2020</v>
      </c>
      <c r="C56">
        <v>363165</v>
      </c>
    </row>
    <row r="57" spans="1:3" x14ac:dyDescent="0.45">
      <c r="A57" t="s">
        <v>40</v>
      </c>
      <c r="B57">
        <v>2021</v>
      </c>
      <c r="C57">
        <v>444943</v>
      </c>
    </row>
    <row r="58" spans="1:3" x14ac:dyDescent="0.45">
      <c r="A58" t="s">
        <v>40</v>
      </c>
      <c r="B58">
        <v>2022</v>
      </c>
      <c r="C58">
        <v>501735</v>
      </c>
    </row>
    <row r="59" spans="1:3" x14ac:dyDescent="0.45">
      <c r="A59" t="s">
        <v>40</v>
      </c>
      <c r="B59">
        <v>2023</v>
      </c>
      <c r="C59">
        <v>537933</v>
      </c>
    </row>
    <row r="60" spans="1:3" x14ac:dyDescent="0.45">
      <c r="A60" t="s">
        <v>40</v>
      </c>
      <c r="B60">
        <v>2024</v>
      </c>
      <c r="C60">
        <v>569366</v>
      </c>
    </row>
    <row r="61" spans="1:3" x14ac:dyDescent="0.45">
      <c r="A61" t="s">
        <v>40</v>
      </c>
      <c r="B61">
        <v>2025</v>
      </c>
      <c r="C61">
        <v>636949</v>
      </c>
    </row>
    <row r="62" spans="1:3" x14ac:dyDescent="0.45">
      <c r="A62" t="s">
        <v>44</v>
      </c>
      <c r="B62">
        <v>2020</v>
      </c>
      <c r="C62">
        <v>22899</v>
      </c>
    </row>
    <row r="63" spans="1:3" x14ac:dyDescent="0.45">
      <c r="A63" t="s">
        <v>44</v>
      </c>
      <c r="B63">
        <v>2021</v>
      </c>
      <c r="C63">
        <v>24879</v>
      </c>
    </row>
    <row r="64" spans="1:3" x14ac:dyDescent="0.45">
      <c r="A64" t="s">
        <v>44</v>
      </c>
      <c r="B64">
        <v>2022</v>
      </c>
      <c r="C64">
        <v>12248</v>
      </c>
    </row>
    <row r="65" spans="1:3" x14ac:dyDescent="0.45">
      <c r="A65" t="s">
        <v>44</v>
      </c>
      <c r="B65">
        <v>2023</v>
      </c>
      <c r="C65">
        <v>36852</v>
      </c>
    </row>
    <row r="66" spans="1:3" x14ac:dyDescent="0.45">
      <c r="A66" t="s">
        <v>44</v>
      </c>
      <c r="B66">
        <v>2024</v>
      </c>
      <c r="C66">
        <v>68593</v>
      </c>
    </row>
    <row r="67" spans="1:3" x14ac:dyDescent="0.45">
      <c r="A67" t="s">
        <v>44</v>
      </c>
      <c r="B67">
        <v>2025</v>
      </c>
      <c r="C67">
        <v>79975</v>
      </c>
    </row>
    <row r="68" spans="1:3" x14ac:dyDescent="0.45">
      <c r="A68" t="s">
        <v>48</v>
      </c>
      <c r="B68">
        <v>2020</v>
      </c>
      <c r="C68">
        <v>555</v>
      </c>
    </row>
    <row r="69" spans="1:3" x14ac:dyDescent="0.45">
      <c r="A69" t="s">
        <v>48</v>
      </c>
      <c r="B69">
        <v>2021</v>
      </c>
      <c r="C69">
        <v>448</v>
      </c>
    </row>
    <row r="70" spans="1:3" x14ac:dyDescent="0.45">
      <c r="A70" t="s">
        <v>48</v>
      </c>
      <c r="B70">
        <v>2022</v>
      </c>
      <c r="C70">
        <v>989</v>
      </c>
    </row>
    <row r="71" spans="1:3" x14ac:dyDescent="0.45">
      <c r="A71" t="s">
        <v>48</v>
      </c>
      <c r="B71">
        <v>2023</v>
      </c>
      <c r="C71">
        <v>2949</v>
      </c>
    </row>
    <row r="72" spans="1:3" x14ac:dyDescent="0.45">
      <c r="A72" t="s">
        <v>48</v>
      </c>
      <c r="B72">
        <v>2024</v>
      </c>
      <c r="C72">
        <v>4677</v>
      </c>
    </row>
    <row r="73" spans="1:3" x14ac:dyDescent="0.45">
      <c r="A73" t="s">
        <v>48</v>
      </c>
      <c r="B73">
        <v>2025</v>
      </c>
      <c r="C73">
        <v>4381</v>
      </c>
    </row>
    <row r="74" spans="1:3" x14ac:dyDescent="0.45">
      <c r="A74" t="s">
        <v>52</v>
      </c>
      <c r="B74">
        <v>2020</v>
      </c>
      <c r="C74">
        <v>-1647</v>
      </c>
    </row>
    <row r="75" spans="1:3" x14ac:dyDescent="0.45">
      <c r="A75" t="s">
        <v>52</v>
      </c>
      <c r="B75">
        <v>2021</v>
      </c>
      <c r="C75">
        <v>-1809</v>
      </c>
    </row>
    <row r="76" spans="1:3" x14ac:dyDescent="0.45">
      <c r="A76" t="s">
        <v>52</v>
      </c>
      <c r="B76">
        <v>2022</v>
      </c>
      <c r="C76">
        <v>-2367</v>
      </c>
    </row>
    <row r="77" spans="1:3" x14ac:dyDescent="0.45">
      <c r="A77" t="s">
        <v>52</v>
      </c>
      <c r="B77">
        <v>2023</v>
      </c>
      <c r="C77">
        <v>-3182</v>
      </c>
    </row>
    <row r="78" spans="1:3" x14ac:dyDescent="0.45">
      <c r="A78" t="s">
        <v>52</v>
      </c>
      <c r="B78">
        <v>2024</v>
      </c>
      <c r="C78">
        <v>-2406</v>
      </c>
    </row>
    <row r="79" spans="1:3" x14ac:dyDescent="0.45">
      <c r="A79" t="s">
        <v>52</v>
      </c>
      <c r="B79">
        <v>2025</v>
      </c>
      <c r="C79">
        <v>-2274</v>
      </c>
    </row>
    <row r="80" spans="1:3" x14ac:dyDescent="0.45">
      <c r="A80" t="s">
        <v>53</v>
      </c>
      <c r="B80">
        <v>2020</v>
      </c>
      <c r="C80">
        <v>2371</v>
      </c>
    </row>
    <row r="81" spans="1:3" x14ac:dyDescent="0.45">
      <c r="A81" t="s">
        <v>53</v>
      </c>
      <c r="B81">
        <v>2021</v>
      </c>
      <c r="C81">
        <v>14633</v>
      </c>
    </row>
    <row r="82" spans="1:3" x14ac:dyDescent="0.45">
      <c r="A82" t="s">
        <v>53</v>
      </c>
      <c r="B82">
        <v>2022</v>
      </c>
      <c r="C82">
        <v>-16806</v>
      </c>
    </row>
    <row r="83" spans="1:3" x14ac:dyDescent="0.45">
      <c r="A83" t="s">
        <v>53</v>
      </c>
      <c r="B83">
        <v>2023</v>
      </c>
      <c r="C83">
        <v>938</v>
      </c>
    </row>
    <row r="84" spans="1:3" x14ac:dyDescent="0.45">
      <c r="A84" t="s">
        <v>53</v>
      </c>
      <c r="B84">
        <v>2024</v>
      </c>
      <c r="C84">
        <v>-2250</v>
      </c>
    </row>
    <row r="85" spans="1:3" x14ac:dyDescent="0.45">
      <c r="A85" t="s">
        <v>53</v>
      </c>
      <c r="B85">
        <v>2025</v>
      </c>
      <c r="C85">
        <v>15229</v>
      </c>
    </row>
    <row r="86" spans="1:3" x14ac:dyDescent="0.45">
      <c r="A86" t="s">
        <v>154</v>
      </c>
      <c r="B86">
        <v>2020</v>
      </c>
      <c r="C86">
        <v>1279</v>
      </c>
    </row>
    <row r="87" spans="1:3" x14ac:dyDescent="0.45">
      <c r="A87" t="s">
        <v>154</v>
      </c>
      <c r="B87">
        <v>2021</v>
      </c>
      <c r="C87">
        <v>13272</v>
      </c>
    </row>
    <row r="88" spans="1:3" x14ac:dyDescent="0.45">
      <c r="A88" t="s">
        <v>154</v>
      </c>
      <c r="B88">
        <v>2022</v>
      </c>
      <c r="C88">
        <v>-18184</v>
      </c>
    </row>
    <row r="89" spans="1:3" x14ac:dyDescent="0.45">
      <c r="A89" t="s">
        <v>154</v>
      </c>
      <c r="B89">
        <v>2023</v>
      </c>
      <c r="C89">
        <v>705</v>
      </c>
    </row>
    <row r="90" spans="1:3" x14ac:dyDescent="0.45">
      <c r="A90" t="s">
        <v>154</v>
      </c>
      <c r="B90">
        <v>2024</v>
      </c>
      <c r="C90">
        <v>21</v>
      </c>
    </row>
    <row r="91" spans="1:3" x14ac:dyDescent="0.45">
      <c r="A91" t="s">
        <v>154</v>
      </c>
      <c r="B91">
        <v>2025</v>
      </c>
      <c r="C91">
        <v>17336</v>
      </c>
    </row>
    <row r="92" spans="1:3" x14ac:dyDescent="0.45">
      <c r="A92" t="s">
        <v>157</v>
      </c>
      <c r="B92">
        <v>2020</v>
      </c>
      <c r="C92">
        <v>24178</v>
      </c>
    </row>
    <row r="93" spans="1:3" x14ac:dyDescent="0.45">
      <c r="A93" t="s">
        <v>157</v>
      </c>
      <c r="B93">
        <v>2021</v>
      </c>
      <c r="C93">
        <v>38151</v>
      </c>
    </row>
    <row r="94" spans="1:3" x14ac:dyDescent="0.45">
      <c r="A94" t="s">
        <v>157</v>
      </c>
      <c r="B94">
        <v>2022</v>
      </c>
      <c r="C94">
        <v>-5936</v>
      </c>
    </row>
    <row r="95" spans="1:3" x14ac:dyDescent="0.45">
      <c r="A95" t="s">
        <v>157</v>
      </c>
      <c r="B95">
        <v>2023</v>
      </c>
      <c r="C95">
        <v>37557</v>
      </c>
    </row>
    <row r="96" spans="1:3" x14ac:dyDescent="0.45">
      <c r="A96" t="s">
        <v>157</v>
      </c>
      <c r="B96">
        <v>2024</v>
      </c>
      <c r="C96">
        <v>68614</v>
      </c>
    </row>
    <row r="97" spans="1:3" x14ac:dyDescent="0.45">
      <c r="A97" t="s">
        <v>157</v>
      </c>
      <c r="B97">
        <v>2025</v>
      </c>
      <c r="C97">
        <v>97311</v>
      </c>
    </row>
    <row r="98" spans="1:3" x14ac:dyDescent="0.45">
      <c r="A98" t="s">
        <v>160</v>
      </c>
      <c r="B98">
        <v>2020</v>
      </c>
      <c r="C98">
        <v>-2863</v>
      </c>
    </row>
    <row r="99" spans="1:3" x14ac:dyDescent="0.45">
      <c r="A99" t="s">
        <v>160</v>
      </c>
      <c r="B99">
        <v>2021</v>
      </c>
      <c r="C99">
        <v>-4791</v>
      </c>
    </row>
    <row r="100" spans="1:3" x14ac:dyDescent="0.45">
      <c r="A100" t="s">
        <v>160</v>
      </c>
      <c r="B100">
        <v>2022</v>
      </c>
      <c r="C100">
        <v>3217</v>
      </c>
    </row>
    <row r="101" spans="1:3" x14ac:dyDescent="0.45">
      <c r="A101" t="s">
        <v>160</v>
      </c>
      <c r="B101">
        <v>2023</v>
      </c>
      <c r="C101">
        <v>-7120</v>
      </c>
    </row>
    <row r="102" spans="1:3" x14ac:dyDescent="0.45">
      <c r="A102" t="s">
        <v>160</v>
      </c>
      <c r="B102">
        <v>2024</v>
      </c>
      <c r="C102">
        <v>-9265</v>
      </c>
    </row>
    <row r="103" spans="1:3" x14ac:dyDescent="0.45">
      <c r="A103" t="s">
        <v>160</v>
      </c>
      <c r="B103">
        <v>2025</v>
      </c>
      <c r="C103">
        <v>-19087</v>
      </c>
    </row>
    <row r="104" spans="1:3" x14ac:dyDescent="0.45">
      <c r="A104" t="s">
        <v>62</v>
      </c>
      <c r="B104">
        <v>2020</v>
      </c>
      <c r="C104">
        <v>16</v>
      </c>
    </row>
    <row r="105" spans="1:3" x14ac:dyDescent="0.45">
      <c r="A105" t="s">
        <v>62</v>
      </c>
      <c r="B105">
        <v>2021</v>
      </c>
      <c r="C105">
        <v>4</v>
      </c>
    </row>
    <row r="106" spans="1:3" x14ac:dyDescent="0.45">
      <c r="A106" t="s">
        <v>62</v>
      </c>
      <c r="B106">
        <v>2022</v>
      </c>
      <c r="C106">
        <v>-3</v>
      </c>
    </row>
    <row r="107" spans="1:3" x14ac:dyDescent="0.45">
      <c r="A107" t="s">
        <v>62</v>
      </c>
      <c r="B107">
        <v>2023</v>
      </c>
      <c r="C107">
        <v>-12</v>
      </c>
    </row>
    <row r="108" spans="1:3" x14ac:dyDescent="0.45">
      <c r="A108" t="s">
        <v>62</v>
      </c>
      <c r="B108">
        <v>2024</v>
      </c>
      <c r="C108">
        <v>-101</v>
      </c>
    </row>
    <row r="109" spans="1:3" x14ac:dyDescent="0.45">
      <c r="A109" t="s">
        <v>62</v>
      </c>
      <c r="B109">
        <v>2025</v>
      </c>
      <c r="C109">
        <v>-554</v>
      </c>
    </row>
    <row r="110" spans="1:3" x14ac:dyDescent="0.45">
      <c r="A110" t="s">
        <v>164</v>
      </c>
      <c r="B110">
        <v>2020</v>
      </c>
      <c r="C110">
        <v>21331</v>
      </c>
    </row>
    <row r="111" spans="1:3" x14ac:dyDescent="0.45">
      <c r="A111" t="s">
        <v>164</v>
      </c>
      <c r="B111">
        <v>2021</v>
      </c>
      <c r="C111">
        <v>33364</v>
      </c>
    </row>
    <row r="112" spans="1:3" x14ac:dyDescent="0.45">
      <c r="A112" t="s">
        <v>164</v>
      </c>
      <c r="B112">
        <v>2022</v>
      </c>
      <c r="C112">
        <v>-2722</v>
      </c>
    </row>
    <row r="113" spans="1:3" x14ac:dyDescent="0.45">
      <c r="A113" t="s">
        <v>164</v>
      </c>
      <c r="B113">
        <v>2023</v>
      </c>
      <c r="C113">
        <v>30425</v>
      </c>
    </row>
    <row r="114" spans="1:3" x14ac:dyDescent="0.45">
      <c r="A114" t="s">
        <v>164</v>
      </c>
      <c r="B114">
        <v>2024</v>
      </c>
      <c r="C114">
        <v>59248</v>
      </c>
    </row>
    <row r="115" spans="1:3" x14ac:dyDescent="0.45">
      <c r="A115" t="s">
        <v>164</v>
      </c>
      <c r="B115">
        <v>2025</v>
      </c>
      <c r="C115">
        <v>77670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81690-0B11-4AE9-B8EF-0847BB9B3443}">
  <sheetPr codeName="Sheet3"/>
  <dimension ref="A1:D55"/>
  <sheetViews>
    <sheetView workbookViewId="0">
      <selection sqref="A1:D55"/>
    </sheetView>
  </sheetViews>
  <sheetFormatPr defaultRowHeight="14.25" x14ac:dyDescent="0.45"/>
  <cols>
    <col min="1" max="1" width="16.265625" bestFit="1" customWidth="1"/>
    <col min="2" max="2" width="12.265625" bestFit="1" customWidth="1"/>
    <col min="3" max="3" width="6.53125" bestFit="1" customWidth="1"/>
    <col min="4" max="5" width="7.53125" bestFit="1" customWidth="1"/>
  </cols>
  <sheetData>
    <row r="1" spans="1:4" x14ac:dyDescent="0.45">
      <c r="A1" t="s">
        <v>211</v>
      </c>
      <c r="B1" t="s">
        <v>210</v>
      </c>
      <c r="C1" t="s">
        <v>208</v>
      </c>
      <c r="D1" t="s">
        <v>209</v>
      </c>
    </row>
    <row r="2" spans="1:4" x14ac:dyDescent="0.45">
      <c r="A2" t="s">
        <v>84</v>
      </c>
      <c r="B2" t="s">
        <v>83</v>
      </c>
      <c r="C2">
        <v>2020</v>
      </c>
      <c r="D2">
        <v>236282</v>
      </c>
    </row>
    <row r="3" spans="1:4" x14ac:dyDescent="0.45">
      <c r="A3" t="s">
        <v>84</v>
      </c>
      <c r="B3" t="s">
        <v>83</v>
      </c>
      <c r="C3">
        <v>2021</v>
      </c>
      <c r="D3">
        <v>279833</v>
      </c>
    </row>
    <row r="4" spans="1:4" x14ac:dyDescent="0.45">
      <c r="A4" t="s">
        <v>84</v>
      </c>
      <c r="B4" t="s">
        <v>83</v>
      </c>
      <c r="C4">
        <v>2022</v>
      </c>
      <c r="D4">
        <v>315880</v>
      </c>
    </row>
    <row r="5" spans="1:4" x14ac:dyDescent="0.45">
      <c r="A5" t="s">
        <v>84</v>
      </c>
      <c r="B5" t="s">
        <v>83</v>
      </c>
      <c r="C5">
        <v>2023</v>
      </c>
      <c r="D5">
        <v>352828</v>
      </c>
    </row>
    <row r="6" spans="1:4" x14ac:dyDescent="0.45">
      <c r="A6" t="s">
        <v>84</v>
      </c>
      <c r="B6" t="s">
        <v>83</v>
      </c>
      <c r="C6">
        <v>2024</v>
      </c>
      <c r="D6">
        <v>387497</v>
      </c>
    </row>
    <row r="7" spans="1:4" x14ac:dyDescent="0.45">
      <c r="A7" t="s">
        <v>84</v>
      </c>
      <c r="B7" t="s">
        <v>83</v>
      </c>
      <c r="C7">
        <v>2025</v>
      </c>
      <c r="D7">
        <v>426305</v>
      </c>
    </row>
    <row r="8" spans="1:4" x14ac:dyDescent="0.45">
      <c r="A8" t="s">
        <v>88</v>
      </c>
      <c r="B8" t="s">
        <v>83</v>
      </c>
      <c r="C8">
        <v>2020</v>
      </c>
      <c r="D8">
        <v>227631</v>
      </c>
    </row>
    <row r="9" spans="1:4" x14ac:dyDescent="0.45">
      <c r="A9" t="s">
        <v>88</v>
      </c>
      <c r="B9" t="s">
        <v>83</v>
      </c>
      <c r="C9">
        <v>2021</v>
      </c>
      <c r="D9">
        <v>272562</v>
      </c>
    </row>
    <row r="10" spans="1:4" x14ac:dyDescent="0.45">
      <c r="A10" t="s">
        <v>88</v>
      </c>
      <c r="B10" t="s">
        <v>83</v>
      </c>
      <c r="C10">
        <v>2022</v>
      </c>
      <c r="D10">
        <v>318727</v>
      </c>
    </row>
    <row r="11" spans="1:4" x14ac:dyDescent="0.45">
      <c r="A11" t="s">
        <v>88</v>
      </c>
      <c r="B11" t="s">
        <v>83</v>
      </c>
      <c r="C11">
        <v>2023</v>
      </c>
      <c r="D11">
        <v>337951</v>
      </c>
    </row>
    <row r="12" spans="1:4" x14ac:dyDescent="0.45">
      <c r="A12" t="s">
        <v>88</v>
      </c>
      <c r="B12" t="s">
        <v>83</v>
      </c>
      <c r="C12">
        <v>2024</v>
      </c>
      <c r="D12">
        <v>362530</v>
      </c>
    </row>
    <row r="13" spans="1:4" x14ac:dyDescent="0.45">
      <c r="A13" t="s">
        <v>88</v>
      </c>
      <c r="B13" t="s">
        <v>83</v>
      </c>
      <c r="C13">
        <v>2025</v>
      </c>
      <c r="D13">
        <v>396686</v>
      </c>
    </row>
    <row r="14" spans="1:4" x14ac:dyDescent="0.45">
      <c r="A14" t="s">
        <v>44</v>
      </c>
      <c r="B14" t="s">
        <v>83</v>
      </c>
      <c r="C14">
        <v>2020</v>
      </c>
      <c r="D14">
        <v>8651</v>
      </c>
    </row>
    <row r="15" spans="1:4" x14ac:dyDescent="0.45">
      <c r="A15" t="s">
        <v>44</v>
      </c>
      <c r="B15" t="s">
        <v>83</v>
      </c>
      <c r="C15">
        <v>2021</v>
      </c>
      <c r="D15">
        <v>7271</v>
      </c>
    </row>
    <row r="16" spans="1:4" x14ac:dyDescent="0.45">
      <c r="A16" t="s">
        <v>44</v>
      </c>
      <c r="B16" t="s">
        <v>83</v>
      </c>
      <c r="C16">
        <v>2022</v>
      </c>
      <c r="D16">
        <v>-2847</v>
      </c>
    </row>
    <row r="17" spans="1:4" x14ac:dyDescent="0.45">
      <c r="A17" t="s">
        <v>44</v>
      </c>
      <c r="B17" t="s">
        <v>83</v>
      </c>
      <c r="C17">
        <v>2023</v>
      </c>
      <c r="D17">
        <v>14877</v>
      </c>
    </row>
    <row r="18" spans="1:4" x14ac:dyDescent="0.45">
      <c r="A18" t="s">
        <v>44</v>
      </c>
      <c r="B18" t="s">
        <v>83</v>
      </c>
      <c r="C18">
        <v>2024</v>
      </c>
      <c r="D18">
        <v>24967</v>
      </c>
    </row>
    <row r="19" spans="1:4" x14ac:dyDescent="0.45">
      <c r="A19" t="s">
        <v>44</v>
      </c>
      <c r="B19" t="s">
        <v>83</v>
      </c>
      <c r="C19">
        <v>2025</v>
      </c>
      <c r="D19">
        <v>29619</v>
      </c>
    </row>
    <row r="20" spans="1:4" x14ac:dyDescent="0.45">
      <c r="A20" t="s">
        <v>84</v>
      </c>
      <c r="B20" t="s">
        <v>95</v>
      </c>
      <c r="C20">
        <v>2020</v>
      </c>
      <c r="D20">
        <v>104412</v>
      </c>
    </row>
    <row r="21" spans="1:4" x14ac:dyDescent="0.45">
      <c r="A21" t="s">
        <v>84</v>
      </c>
      <c r="B21" t="s">
        <v>95</v>
      </c>
      <c r="C21">
        <v>2021</v>
      </c>
      <c r="D21">
        <v>127787</v>
      </c>
    </row>
    <row r="22" spans="1:4" x14ac:dyDescent="0.45">
      <c r="A22" t="s">
        <v>84</v>
      </c>
      <c r="B22" t="s">
        <v>95</v>
      </c>
      <c r="C22">
        <v>2022</v>
      </c>
      <c r="D22">
        <v>118007</v>
      </c>
    </row>
    <row r="23" spans="1:4" x14ac:dyDescent="0.45">
      <c r="A23" t="s">
        <v>84</v>
      </c>
      <c r="B23" t="s">
        <v>95</v>
      </c>
      <c r="C23">
        <v>2023</v>
      </c>
      <c r="D23">
        <v>131200</v>
      </c>
    </row>
    <row r="24" spans="1:4" x14ac:dyDescent="0.45">
      <c r="A24" t="s">
        <v>84</v>
      </c>
      <c r="B24" t="s">
        <v>95</v>
      </c>
      <c r="C24">
        <v>2024</v>
      </c>
      <c r="D24">
        <v>142906</v>
      </c>
    </row>
    <row r="25" spans="1:4" x14ac:dyDescent="0.45">
      <c r="A25" t="s">
        <v>84</v>
      </c>
      <c r="B25" t="s">
        <v>95</v>
      </c>
      <c r="C25">
        <v>2025</v>
      </c>
      <c r="D25">
        <v>161894</v>
      </c>
    </row>
    <row r="26" spans="1:4" x14ac:dyDescent="0.45">
      <c r="A26" t="s">
        <v>88</v>
      </c>
      <c r="B26" t="s">
        <v>95</v>
      </c>
      <c r="C26">
        <v>2020</v>
      </c>
      <c r="D26">
        <v>103695</v>
      </c>
    </row>
    <row r="27" spans="1:4" x14ac:dyDescent="0.45">
      <c r="A27" t="s">
        <v>88</v>
      </c>
      <c r="B27" t="s">
        <v>95</v>
      </c>
      <c r="C27">
        <v>2021</v>
      </c>
      <c r="D27">
        <v>128711</v>
      </c>
    </row>
    <row r="28" spans="1:4" x14ac:dyDescent="0.45">
      <c r="A28" t="s">
        <v>88</v>
      </c>
      <c r="B28" t="s">
        <v>95</v>
      </c>
      <c r="C28">
        <v>2022</v>
      </c>
      <c r="D28">
        <v>125753</v>
      </c>
    </row>
    <row r="29" spans="1:4" x14ac:dyDescent="0.45">
      <c r="A29" t="s">
        <v>88</v>
      </c>
      <c r="B29" t="s">
        <v>95</v>
      </c>
      <c r="C29">
        <v>2023</v>
      </c>
      <c r="D29">
        <v>133856</v>
      </c>
    </row>
    <row r="30" spans="1:4" x14ac:dyDescent="0.45">
      <c r="A30" t="s">
        <v>88</v>
      </c>
      <c r="B30" t="s">
        <v>95</v>
      </c>
      <c r="C30">
        <v>2024</v>
      </c>
      <c r="D30">
        <v>139114</v>
      </c>
    </row>
    <row r="31" spans="1:4" x14ac:dyDescent="0.45">
      <c r="A31" t="s">
        <v>88</v>
      </c>
      <c r="B31" t="s">
        <v>95</v>
      </c>
      <c r="C31">
        <v>2025</v>
      </c>
      <c r="D31">
        <v>157144</v>
      </c>
    </row>
    <row r="32" spans="1:4" x14ac:dyDescent="0.45">
      <c r="A32" t="s">
        <v>44</v>
      </c>
      <c r="B32" t="s">
        <v>95</v>
      </c>
      <c r="C32">
        <v>2020</v>
      </c>
      <c r="D32">
        <v>717</v>
      </c>
    </row>
    <row r="33" spans="1:4" x14ac:dyDescent="0.45">
      <c r="A33" t="s">
        <v>44</v>
      </c>
      <c r="B33" t="s">
        <v>95</v>
      </c>
      <c r="C33">
        <v>2021</v>
      </c>
      <c r="D33">
        <v>-924</v>
      </c>
    </row>
    <row r="34" spans="1:4" x14ac:dyDescent="0.45">
      <c r="A34" t="s">
        <v>44</v>
      </c>
      <c r="B34" t="s">
        <v>95</v>
      </c>
      <c r="C34">
        <v>2022</v>
      </c>
      <c r="D34">
        <v>-7746</v>
      </c>
    </row>
    <row r="35" spans="1:4" x14ac:dyDescent="0.45">
      <c r="A35" t="s">
        <v>44</v>
      </c>
      <c r="B35" t="s">
        <v>95</v>
      </c>
      <c r="C35">
        <v>2023</v>
      </c>
      <c r="D35">
        <v>-2656</v>
      </c>
    </row>
    <row r="36" spans="1:4" x14ac:dyDescent="0.45">
      <c r="A36" t="s">
        <v>44</v>
      </c>
      <c r="B36" t="s">
        <v>95</v>
      </c>
      <c r="C36">
        <v>2024</v>
      </c>
      <c r="D36">
        <v>3792</v>
      </c>
    </row>
    <row r="37" spans="1:4" x14ac:dyDescent="0.45">
      <c r="A37" t="s">
        <v>44</v>
      </c>
      <c r="B37" t="s">
        <v>95</v>
      </c>
      <c r="C37">
        <v>2025</v>
      </c>
      <c r="D37">
        <v>4750</v>
      </c>
    </row>
    <row r="38" spans="1:4" x14ac:dyDescent="0.45">
      <c r="A38" t="s">
        <v>84</v>
      </c>
      <c r="B38" t="s">
        <v>105</v>
      </c>
      <c r="C38">
        <v>2020</v>
      </c>
      <c r="D38">
        <v>45370</v>
      </c>
    </row>
    <row r="39" spans="1:4" x14ac:dyDescent="0.45">
      <c r="A39" t="s">
        <v>84</v>
      </c>
      <c r="B39" t="s">
        <v>105</v>
      </c>
      <c r="C39">
        <v>2021</v>
      </c>
      <c r="D39">
        <v>62202</v>
      </c>
    </row>
    <row r="40" spans="1:4" x14ac:dyDescent="0.45">
      <c r="A40" t="s">
        <v>84</v>
      </c>
      <c r="B40" t="s">
        <v>105</v>
      </c>
      <c r="C40">
        <v>2022</v>
      </c>
      <c r="D40">
        <v>80096</v>
      </c>
    </row>
    <row r="41" spans="1:4" x14ac:dyDescent="0.45">
      <c r="A41" t="s">
        <v>84</v>
      </c>
      <c r="B41" t="s">
        <v>105</v>
      </c>
      <c r="C41">
        <v>2023</v>
      </c>
      <c r="D41">
        <v>90757</v>
      </c>
    </row>
    <row r="42" spans="1:4" x14ac:dyDescent="0.45">
      <c r="A42" t="s">
        <v>84</v>
      </c>
      <c r="B42" t="s">
        <v>105</v>
      </c>
      <c r="C42">
        <v>2024</v>
      </c>
      <c r="D42">
        <v>107556</v>
      </c>
    </row>
    <row r="43" spans="1:4" x14ac:dyDescent="0.45">
      <c r="A43" t="s">
        <v>84</v>
      </c>
      <c r="B43" t="s">
        <v>105</v>
      </c>
      <c r="C43">
        <v>2025</v>
      </c>
      <c r="D43">
        <v>128725</v>
      </c>
    </row>
    <row r="44" spans="1:4" x14ac:dyDescent="0.45">
      <c r="A44" t="s">
        <v>88</v>
      </c>
      <c r="B44" t="s">
        <v>105</v>
      </c>
      <c r="C44">
        <v>2020</v>
      </c>
      <c r="D44">
        <v>31839</v>
      </c>
    </row>
    <row r="45" spans="1:4" x14ac:dyDescent="0.45">
      <c r="A45" t="s">
        <v>88</v>
      </c>
      <c r="B45" t="s">
        <v>105</v>
      </c>
      <c r="C45">
        <v>2021</v>
      </c>
      <c r="D45">
        <v>43670</v>
      </c>
    </row>
    <row r="46" spans="1:4" x14ac:dyDescent="0.45">
      <c r="A46" t="s">
        <v>88</v>
      </c>
      <c r="B46" t="s">
        <v>105</v>
      </c>
      <c r="C46">
        <v>2022</v>
      </c>
      <c r="D46">
        <v>57255</v>
      </c>
    </row>
    <row r="47" spans="1:4" x14ac:dyDescent="0.45">
      <c r="A47" t="s">
        <v>88</v>
      </c>
      <c r="B47" t="s">
        <v>105</v>
      </c>
      <c r="C47">
        <v>2023</v>
      </c>
      <c r="D47">
        <v>66126</v>
      </c>
    </row>
    <row r="48" spans="1:4" x14ac:dyDescent="0.45">
      <c r="A48" t="s">
        <v>88</v>
      </c>
      <c r="B48" t="s">
        <v>105</v>
      </c>
      <c r="C48">
        <v>2024</v>
      </c>
      <c r="D48">
        <v>67722</v>
      </c>
    </row>
    <row r="49" spans="1:4" x14ac:dyDescent="0.45">
      <c r="A49" t="s">
        <v>88</v>
      </c>
      <c r="B49" t="s">
        <v>105</v>
      </c>
      <c r="C49">
        <v>2025</v>
      </c>
      <c r="D49">
        <v>83119</v>
      </c>
    </row>
    <row r="50" spans="1:4" x14ac:dyDescent="0.45">
      <c r="A50" t="s">
        <v>44</v>
      </c>
      <c r="B50" t="s">
        <v>105</v>
      </c>
      <c r="C50">
        <v>2020</v>
      </c>
      <c r="D50">
        <v>13531</v>
      </c>
    </row>
    <row r="51" spans="1:4" x14ac:dyDescent="0.45">
      <c r="A51" t="s">
        <v>44</v>
      </c>
      <c r="B51" t="s">
        <v>105</v>
      </c>
      <c r="C51">
        <v>2021</v>
      </c>
      <c r="D51">
        <v>18532</v>
      </c>
    </row>
    <row r="52" spans="1:4" x14ac:dyDescent="0.45">
      <c r="A52" t="s">
        <v>44</v>
      </c>
      <c r="B52" t="s">
        <v>105</v>
      </c>
      <c r="C52">
        <v>2022</v>
      </c>
      <c r="D52">
        <v>22841</v>
      </c>
    </row>
    <row r="53" spans="1:4" x14ac:dyDescent="0.45">
      <c r="A53" t="s">
        <v>44</v>
      </c>
      <c r="B53" t="s">
        <v>105</v>
      </c>
      <c r="C53">
        <v>2023</v>
      </c>
      <c r="D53">
        <v>24631</v>
      </c>
    </row>
    <row r="54" spans="1:4" x14ac:dyDescent="0.45">
      <c r="A54" t="s">
        <v>44</v>
      </c>
      <c r="B54" t="s">
        <v>105</v>
      </c>
      <c r="C54">
        <v>2024</v>
      </c>
      <c r="D54">
        <v>39834</v>
      </c>
    </row>
    <row r="55" spans="1:4" x14ac:dyDescent="0.45">
      <c r="A55" t="s">
        <v>44</v>
      </c>
      <c r="B55" t="s">
        <v>105</v>
      </c>
      <c r="C55">
        <v>2025</v>
      </c>
      <c r="D55">
        <v>45606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331AF-9105-4A43-93D0-FE16516A3F8C}">
  <sheetPr codeName="Sheet4"/>
  <dimension ref="A3:G56"/>
  <sheetViews>
    <sheetView tabSelected="1" topLeftCell="A24" zoomScale="72" zoomScaleNormal="55" workbookViewId="0">
      <selection activeCell="K62" sqref="K62"/>
    </sheetView>
  </sheetViews>
  <sheetFormatPr defaultRowHeight="14.25" x14ac:dyDescent="0.45"/>
  <cols>
    <col min="1" max="1" width="39.53125" bestFit="1" customWidth="1"/>
    <col min="2" max="2" width="17.6640625" customWidth="1"/>
    <col min="3" max="7" width="7.3984375" bestFit="1" customWidth="1"/>
    <col min="8" max="8" width="10.59765625" bestFit="1" customWidth="1"/>
  </cols>
  <sheetData>
    <row r="3" spans="1:7" x14ac:dyDescent="0.45">
      <c r="A3" s="5" t="s">
        <v>222</v>
      </c>
      <c r="B3" s="5" t="s">
        <v>214</v>
      </c>
    </row>
    <row r="4" spans="1:7" x14ac:dyDescent="0.45">
      <c r="A4" s="5" t="s">
        <v>212</v>
      </c>
      <c r="B4">
        <v>2020</v>
      </c>
      <c r="C4">
        <v>2021</v>
      </c>
      <c r="D4">
        <v>2022</v>
      </c>
      <c r="E4">
        <v>2023</v>
      </c>
      <c r="F4">
        <v>2024</v>
      </c>
      <c r="G4">
        <v>2025</v>
      </c>
    </row>
    <row r="5" spans="1:7" x14ac:dyDescent="0.45">
      <c r="A5" s="6" t="s">
        <v>11</v>
      </c>
      <c r="B5" s="1">
        <v>386064</v>
      </c>
      <c r="C5" s="1">
        <v>469822</v>
      </c>
      <c r="D5" s="1">
        <v>513983</v>
      </c>
      <c r="E5" s="1">
        <v>574785</v>
      </c>
      <c r="F5" s="1">
        <v>637959</v>
      </c>
      <c r="G5" s="1">
        <v>716924</v>
      </c>
    </row>
    <row r="6" spans="1:7" x14ac:dyDescent="0.45">
      <c r="A6" s="6" t="s">
        <v>16</v>
      </c>
      <c r="B6" s="1">
        <v>233307</v>
      </c>
      <c r="C6" s="1">
        <v>272344</v>
      </c>
      <c r="D6" s="1">
        <v>288831</v>
      </c>
      <c r="E6" s="1">
        <v>304739</v>
      </c>
      <c r="F6" s="1">
        <v>326288</v>
      </c>
      <c r="G6" s="1">
        <v>356414</v>
      </c>
    </row>
    <row r="7" spans="1:7" x14ac:dyDescent="0.45">
      <c r="A7" s="6" t="s">
        <v>20</v>
      </c>
      <c r="B7" s="1">
        <v>58517</v>
      </c>
      <c r="C7" s="1">
        <v>75111</v>
      </c>
      <c r="D7" s="1">
        <v>84299</v>
      </c>
      <c r="E7" s="1">
        <v>90619</v>
      </c>
      <c r="F7" s="1">
        <v>98505</v>
      </c>
      <c r="G7" s="1">
        <v>109074</v>
      </c>
    </row>
    <row r="8" spans="1:7" x14ac:dyDescent="0.45">
      <c r="A8" s="6" t="s">
        <v>24</v>
      </c>
      <c r="B8" s="1">
        <v>42740</v>
      </c>
      <c r="C8" s="1">
        <v>56052</v>
      </c>
      <c r="D8" s="1">
        <v>73213</v>
      </c>
      <c r="E8" s="1">
        <v>85622</v>
      </c>
      <c r="F8" s="1">
        <v>88544</v>
      </c>
      <c r="G8" s="1">
        <v>108521</v>
      </c>
    </row>
    <row r="9" spans="1:7" x14ac:dyDescent="0.45">
      <c r="A9" s="6" t="s">
        <v>28</v>
      </c>
      <c r="B9" s="1">
        <v>22008</v>
      </c>
      <c r="C9" s="1">
        <v>32551</v>
      </c>
      <c r="D9" s="1">
        <v>42238</v>
      </c>
      <c r="E9" s="1">
        <v>44370</v>
      </c>
      <c r="F9" s="1">
        <v>43907</v>
      </c>
      <c r="G9" s="1">
        <v>47129</v>
      </c>
    </row>
    <row r="10" spans="1:7" x14ac:dyDescent="0.45">
      <c r="A10" s="6" t="s">
        <v>32</v>
      </c>
      <c r="B10" s="1">
        <v>6668</v>
      </c>
      <c r="C10" s="1">
        <v>8823</v>
      </c>
      <c r="D10" s="1">
        <v>11891</v>
      </c>
      <c r="E10" s="1">
        <v>11816</v>
      </c>
      <c r="F10" s="1">
        <v>11359</v>
      </c>
      <c r="G10" s="1">
        <v>11172</v>
      </c>
    </row>
    <row r="11" spans="1:7" x14ac:dyDescent="0.45">
      <c r="A11" s="6" t="s">
        <v>44</v>
      </c>
      <c r="B11" s="1">
        <v>22899</v>
      </c>
      <c r="C11" s="1">
        <v>24879</v>
      </c>
      <c r="D11" s="1">
        <v>12248</v>
      </c>
      <c r="E11" s="1">
        <v>36852</v>
      </c>
      <c r="F11" s="1">
        <v>68593</v>
      </c>
      <c r="G11" s="1">
        <v>79975</v>
      </c>
    </row>
    <row r="15" spans="1:7" x14ac:dyDescent="0.45">
      <c r="A15" s="13" t="s">
        <v>221</v>
      </c>
      <c r="B15" s="14"/>
      <c r="C15" s="14">
        <f>C5/B5-1</f>
        <v>0.21695366571345676</v>
      </c>
      <c r="D15" s="14">
        <f t="shared" ref="D15:G15" si="0">D5/C5-1</f>
        <v>9.399517263985091E-2</v>
      </c>
      <c r="E15" s="14">
        <f t="shared" si="0"/>
        <v>0.1182957412988368</v>
      </c>
      <c r="F15" s="14">
        <f t="shared" si="0"/>
        <v>0.1099089224666614</v>
      </c>
      <c r="G15" s="14">
        <f t="shared" si="0"/>
        <v>0.12377754683294695</v>
      </c>
    </row>
    <row r="16" spans="1:7" x14ac:dyDescent="0.45">
      <c r="A16" s="13" t="s">
        <v>215</v>
      </c>
      <c r="B16" s="14">
        <f t="shared" ref="B16:B21" si="1">B6/B$5</f>
        <v>0.60432208131294296</v>
      </c>
      <c r="C16" s="14">
        <f t="shared" ref="C16:G16" si="2">C6/C$5</f>
        <v>0.57967485558360399</v>
      </c>
      <c r="D16" s="14">
        <f t="shared" si="2"/>
        <v>0.56194660134673713</v>
      </c>
      <c r="E16" s="14">
        <f t="shared" ref="E16:E21" si="3">E6/E$5</f>
        <v>0.53017911044999433</v>
      </c>
      <c r="F16" s="14">
        <f t="shared" si="2"/>
        <v>0.51145606535843213</v>
      </c>
      <c r="G16" s="14">
        <f t="shared" si="2"/>
        <v>0.49714335131757342</v>
      </c>
    </row>
    <row r="17" spans="1:7" x14ac:dyDescent="0.45">
      <c r="A17" s="13" t="s">
        <v>216</v>
      </c>
      <c r="B17" s="14">
        <f t="shared" si="1"/>
        <v>0.15157331426913673</v>
      </c>
      <c r="C17" s="14">
        <f t="shared" ref="C17:D21" si="4">C7/C$5</f>
        <v>0.15987118525739535</v>
      </c>
      <c r="D17" s="14">
        <f t="shared" si="4"/>
        <v>0.16401126107283703</v>
      </c>
      <c r="E17" s="14">
        <f t="shared" si="3"/>
        <v>0.1576572109571405</v>
      </c>
      <c r="F17" s="14">
        <f t="shared" ref="F17:G21" si="5">F7/F$5</f>
        <v>0.15440647439725749</v>
      </c>
      <c r="G17" s="14">
        <f t="shared" si="5"/>
        <v>0.15214164960302626</v>
      </c>
    </row>
    <row r="18" spans="1:7" x14ac:dyDescent="0.45">
      <c r="A18" s="13" t="s">
        <v>217</v>
      </c>
      <c r="B18" s="14">
        <f t="shared" si="1"/>
        <v>0.11070703303079282</v>
      </c>
      <c r="C18" s="14">
        <f t="shared" si="4"/>
        <v>0.11930475797216818</v>
      </c>
      <c r="D18" s="14">
        <f t="shared" si="4"/>
        <v>0.14244245432241923</v>
      </c>
      <c r="E18" s="14">
        <f t="shared" si="3"/>
        <v>0.14896352549214054</v>
      </c>
      <c r="F18" s="14">
        <f t="shared" si="5"/>
        <v>0.13879261833440706</v>
      </c>
      <c r="G18" s="14">
        <f t="shared" si="5"/>
        <v>0.15137029866485149</v>
      </c>
    </row>
    <row r="19" spans="1:7" x14ac:dyDescent="0.45">
      <c r="A19" s="13" t="s">
        <v>218</v>
      </c>
      <c r="B19" s="14">
        <f t="shared" si="1"/>
        <v>5.7006092254134028E-2</v>
      </c>
      <c r="C19" s="14">
        <f t="shared" si="4"/>
        <v>6.9283686161993263E-2</v>
      </c>
      <c r="D19" s="14">
        <f t="shared" si="4"/>
        <v>8.2177815219569517E-2</v>
      </c>
      <c r="E19" s="14">
        <f t="shared" si="3"/>
        <v>7.7194081265168718E-2</v>
      </c>
      <c r="F19" s="14">
        <f t="shared" si="5"/>
        <v>6.8824172086293947E-2</v>
      </c>
      <c r="G19" s="14">
        <f t="shared" si="5"/>
        <v>6.5737790895548209E-2</v>
      </c>
    </row>
    <row r="20" spans="1:7" x14ac:dyDescent="0.45">
      <c r="A20" s="13" t="s">
        <v>219</v>
      </c>
      <c r="B20" s="14">
        <f t="shared" si="1"/>
        <v>1.7271747689502258E-2</v>
      </c>
      <c r="C20" s="14">
        <f t="shared" si="4"/>
        <v>1.8779452643767215E-2</v>
      </c>
      <c r="D20" s="14">
        <f t="shared" si="4"/>
        <v>2.3135006410717866E-2</v>
      </c>
      <c r="E20" s="14">
        <f t="shared" si="3"/>
        <v>2.0557251841993092E-2</v>
      </c>
      <c r="F20" s="14">
        <f t="shared" si="5"/>
        <v>1.7805219457676748E-2</v>
      </c>
      <c r="G20" s="14">
        <f t="shared" si="5"/>
        <v>1.5583241738315358E-2</v>
      </c>
    </row>
    <row r="21" spans="1:7" x14ac:dyDescent="0.45">
      <c r="A21" s="13" t="s">
        <v>220</v>
      </c>
      <c r="B21" s="14">
        <f t="shared" si="1"/>
        <v>5.9313999751336569E-2</v>
      </c>
      <c r="C21" s="14">
        <f t="shared" si="4"/>
        <v>5.2954097509269465E-2</v>
      </c>
      <c r="D21" s="14">
        <f t="shared" si="4"/>
        <v>2.3829581912242232E-2</v>
      </c>
      <c r="E21" s="14">
        <f t="shared" si="3"/>
        <v>6.4114407996033296E-2</v>
      </c>
      <c r="F21" s="14">
        <f t="shared" si="5"/>
        <v>0.1075194487420038</v>
      </c>
      <c r="G21" s="14">
        <f>G11/G$5</f>
        <v>0.11155296795755199</v>
      </c>
    </row>
    <row r="22" spans="1:7" x14ac:dyDescent="0.45">
      <c r="B22" s="7"/>
      <c r="C22" s="7"/>
      <c r="D22" s="7"/>
      <c r="E22" s="7"/>
      <c r="F22" s="7"/>
      <c r="G22" s="7"/>
    </row>
    <row r="23" spans="1:7" x14ac:dyDescent="0.45">
      <c r="B23" s="7"/>
      <c r="C23" s="7"/>
      <c r="D23" s="7"/>
      <c r="E23" s="7"/>
      <c r="F23" s="7"/>
      <c r="G23" s="7"/>
    </row>
    <row r="25" spans="1:7" x14ac:dyDescent="0.45">
      <c r="A25" s="5" t="s">
        <v>211</v>
      </c>
      <c r="B25" t="s">
        <v>84</v>
      </c>
    </row>
    <row r="27" spans="1:7" x14ac:dyDescent="0.45">
      <c r="A27" s="5" t="s">
        <v>222</v>
      </c>
      <c r="B27" s="5" t="s">
        <v>214</v>
      </c>
    </row>
    <row r="28" spans="1:7" x14ac:dyDescent="0.45">
      <c r="A28" s="5" t="s">
        <v>212</v>
      </c>
      <c r="B28">
        <v>2020</v>
      </c>
      <c r="C28">
        <v>2021</v>
      </c>
      <c r="D28">
        <v>2022</v>
      </c>
      <c r="E28">
        <v>2023</v>
      </c>
      <c r="F28">
        <v>2024</v>
      </c>
      <c r="G28">
        <v>2025</v>
      </c>
    </row>
    <row r="29" spans="1:7" x14ac:dyDescent="0.45">
      <c r="A29" s="6" t="s">
        <v>105</v>
      </c>
      <c r="B29" s="1">
        <v>45370</v>
      </c>
      <c r="C29" s="1">
        <v>62202</v>
      </c>
      <c r="D29" s="1">
        <v>80096</v>
      </c>
      <c r="E29" s="1">
        <v>90757</v>
      </c>
      <c r="F29" s="1">
        <v>107556</v>
      </c>
      <c r="G29" s="1">
        <v>128725</v>
      </c>
    </row>
    <row r="30" spans="1:7" x14ac:dyDescent="0.45">
      <c r="A30" s="6" t="s">
        <v>95</v>
      </c>
      <c r="B30" s="1">
        <v>104412</v>
      </c>
      <c r="C30" s="1">
        <v>127787</v>
      </c>
      <c r="D30" s="1">
        <v>118007</v>
      </c>
      <c r="E30" s="1">
        <v>131200</v>
      </c>
      <c r="F30" s="1">
        <v>142906</v>
      </c>
      <c r="G30" s="1">
        <v>161894</v>
      </c>
    </row>
    <row r="31" spans="1:7" x14ac:dyDescent="0.45">
      <c r="A31" s="6" t="s">
        <v>83</v>
      </c>
      <c r="B31" s="1">
        <v>236282</v>
      </c>
      <c r="C31" s="1">
        <v>279833</v>
      </c>
      <c r="D31" s="1">
        <v>315880</v>
      </c>
      <c r="E31" s="1">
        <v>352828</v>
      </c>
      <c r="F31" s="1">
        <v>387497</v>
      </c>
      <c r="G31" s="1">
        <v>426305</v>
      </c>
    </row>
    <row r="32" spans="1:7" x14ac:dyDescent="0.45">
      <c r="A32" s="6" t="s">
        <v>213</v>
      </c>
      <c r="B32" s="1">
        <v>386064</v>
      </c>
      <c r="C32" s="1">
        <v>469822</v>
      </c>
      <c r="D32" s="1">
        <v>513983</v>
      </c>
      <c r="E32" s="1">
        <v>574785</v>
      </c>
      <c r="F32" s="1">
        <v>637959</v>
      </c>
      <c r="G32" s="1">
        <v>716924</v>
      </c>
    </row>
    <row r="34" spans="1:7" x14ac:dyDescent="0.45">
      <c r="A34" s="5" t="s">
        <v>211</v>
      </c>
      <c r="B34" t="s">
        <v>44</v>
      </c>
    </row>
    <row r="36" spans="1:7" x14ac:dyDescent="0.45">
      <c r="A36" s="5" t="s">
        <v>222</v>
      </c>
      <c r="B36" s="5" t="s">
        <v>214</v>
      </c>
    </row>
    <row r="37" spans="1:7" x14ac:dyDescent="0.45">
      <c r="A37" s="5" t="s">
        <v>212</v>
      </c>
      <c r="B37">
        <v>2020</v>
      </c>
      <c r="C37">
        <v>2021</v>
      </c>
      <c r="D37">
        <v>2022</v>
      </c>
      <c r="E37">
        <v>2023</v>
      </c>
      <c r="F37">
        <v>2024</v>
      </c>
      <c r="G37">
        <v>2025</v>
      </c>
    </row>
    <row r="38" spans="1:7" x14ac:dyDescent="0.45">
      <c r="A38" s="6" t="s">
        <v>105</v>
      </c>
      <c r="B38" s="1">
        <v>13531</v>
      </c>
      <c r="C38" s="1">
        <v>18532</v>
      </c>
      <c r="D38" s="1">
        <v>22841</v>
      </c>
      <c r="E38" s="1">
        <v>24631</v>
      </c>
      <c r="F38" s="1">
        <v>39834</v>
      </c>
      <c r="G38" s="1">
        <v>45606</v>
      </c>
    </row>
    <row r="39" spans="1:7" x14ac:dyDescent="0.45">
      <c r="A39" s="6" t="s">
        <v>95</v>
      </c>
      <c r="B39" s="1">
        <v>717</v>
      </c>
      <c r="C39" s="1">
        <v>-924</v>
      </c>
      <c r="D39" s="1">
        <v>-7746</v>
      </c>
      <c r="E39" s="1">
        <v>-2656</v>
      </c>
      <c r="F39" s="1">
        <v>3792</v>
      </c>
      <c r="G39" s="1">
        <v>4750</v>
      </c>
    </row>
    <row r="40" spans="1:7" x14ac:dyDescent="0.45">
      <c r="A40" s="6" t="s">
        <v>83</v>
      </c>
      <c r="B40" s="1">
        <v>8651</v>
      </c>
      <c r="C40" s="1">
        <v>7271</v>
      </c>
      <c r="D40" s="1">
        <v>-2847</v>
      </c>
      <c r="E40" s="1">
        <v>14877</v>
      </c>
      <c r="F40" s="1">
        <v>24967</v>
      </c>
      <c r="G40" s="1">
        <v>29619</v>
      </c>
    </row>
    <row r="41" spans="1:7" x14ac:dyDescent="0.45">
      <c r="A41" s="6" t="s">
        <v>213</v>
      </c>
      <c r="B41" s="1">
        <v>22899</v>
      </c>
      <c r="C41" s="1">
        <v>24879</v>
      </c>
      <c r="D41" s="1">
        <v>12248</v>
      </c>
      <c r="E41" s="1">
        <v>36852</v>
      </c>
      <c r="F41" s="1">
        <v>68593</v>
      </c>
      <c r="G41" s="1">
        <v>79975</v>
      </c>
    </row>
    <row r="43" spans="1:7" x14ac:dyDescent="0.45">
      <c r="A43" s="17" t="s">
        <v>223</v>
      </c>
    </row>
    <row r="44" spans="1:7" x14ac:dyDescent="0.45">
      <c r="A44" s="15" t="s">
        <v>105</v>
      </c>
      <c r="B44" s="14">
        <f t="shared" ref="B44:G46" si="6">B38/B29</f>
        <v>0.29823672029975756</v>
      </c>
      <c r="C44" s="14">
        <f t="shared" si="6"/>
        <v>0.29793254236198191</v>
      </c>
      <c r="D44" s="14">
        <f t="shared" si="6"/>
        <v>0.28517029564522572</v>
      </c>
      <c r="E44" s="14">
        <f t="shared" si="6"/>
        <v>0.27139504390845887</v>
      </c>
      <c r="F44" s="14">
        <f t="shared" si="6"/>
        <v>0.37035590762021642</v>
      </c>
      <c r="G44" s="14">
        <f t="shared" si="6"/>
        <v>0.35429015342785009</v>
      </c>
    </row>
    <row r="45" spans="1:7" x14ac:dyDescent="0.45">
      <c r="A45" s="15" t="s">
        <v>95</v>
      </c>
      <c r="B45" s="14">
        <f t="shared" si="6"/>
        <v>6.8670267785312031E-3</v>
      </c>
      <c r="C45" s="14">
        <f t="shared" si="6"/>
        <v>-7.2307824739605746E-3</v>
      </c>
      <c r="D45" s="14">
        <f t="shared" si="6"/>
        <v>-6.5640173887989692E-2</v>
      </c>
      <c r="E45" s="14">
        <f t="shared" si="6"/>
        <v>-2.0243902439024391E-2</v>
      </c>
      <c r="F45" s="14">
        <f t="shared" si="6"/>
        <v>2.6534925055630973E-2</v>
      </c>
      <c r="G45" s="14">
        <f t="shared" si="6"/>
        <v>2.9340185553510322E-2</v>
      </c>
    </row>
    <row r="46" spans="1:7" x14ac:dyDescent="0.45">
      <c r="A46" s="15" t="s">
        <v>83</v>
      </c>
      <c r="B46" s="14">
        <f t="shared" si="6"/>
        <v>3.6613030192735797E-2</v>
      </c>
      <c r="C46" s="14">
        <f t="shared" si="6"/>
        <v>2.5983354357777676E-2</v>
      </c>
      <c r="D46" s="14">
        <f t="shared" si="6"/>
        <v>-9.0129162973280989E-3</v>
      </c>
      <c r="E46" s="14">
        <f t="shared" si="6"/>
        <v>4.2165020916707291E-2</v>
      </c>
      <c r="F46" s="14">
        <f t="shared" si="6"/>
        <v>6.4431466566192766E-2</v>
      </c>
      <c r="G46" s="14">
        <f t="shared" si="6"/>
        <v>6.9478425071251806E-2</v>
      </c>
    </row>
    <row r="48" spans="1:7" x14ac:dyDescent="0.45">
      <c r="A48" s="17" t="s">
        <v>224</v>
      </c>
    </row>
    <row r="49" spans="1:7" x14ac:dyDescent="0.45">
      <c r="A49" s="15" t="s">
        <v>105</v>
      </c>
      <c r="B49" s="14">
        <f t="shared" ref="B49:G51" si="7">B29/B$32</f>
        <v>0.11751937502590244</v>
      </c>
      <c r="C49" s="14">
        <f t="shared" si="7"/>
        <v>0.13239482186870771</v>
      </c>
      <c r="D49" s="14">
        <f t="shared" si="7"/>
        <v>0.15583394781539467</v>
      </c>
      <c r="E49" s="14">
        <f t="shared" si="7"/>
        <v>0.15789730072983812</v>
      </c>
      <c r="F49" s="14">
        <f t="shared" si="7"/>
        <v>0.16859390650496348</v>
      </c>
      <c r="G49" s="14">
        <f t="shared" si="7"/>
        <v>0.17955180744402474</v>
      </c>
    </row>
    <row r="50" spans="1:7" x14ac:dyDescent="0.45">
      <c r="A50" s="15" t="s">
        <v>95</v>
      </c>
      <c r="B50" s="14">
        <f t="shared" si="7"/>
        <v>0.27045256744995649</v>
      </c>
      <c r="C50" s="14">
        <f t="shared" si="7"/>
        <v>0.27199024311334929</v>
      </c>
      <c r="D50" s="14">
        <f t="shared" si="7"/>
        <v>0.22959319666214642</v>
      </c>
      <c r="E50" s="14">
        <f t="shared" si="7"/>
        <v>0.22825926215889419</v>
      </c>
      <c r="F50" s="14">
        <f t="shared" si="7"/>
        <v>0.22400499091634415</v>
      </c>
      <c r="G50" s="14">
        <f t="shared" si="7"/>
        <v>0.22581752040662609</v>
      </c>
    </row>
    <row r="51" spans="1:7" x14ac:dyDescent="0.45">
      <c r="A51" s="15" t="s">
        <v>83</v>
      </c>
      <c r="B51" s="14">
        <f t="shared" si="7"/>
        <v>0.61202805752414102</v>
      </c>
      <c r="C51" s="14">
        <f t="shared" si="7"/>
        <v>0.59561493501794294</v>
      </c>
      <c r="D51" s="14">
        <f t="shared" si="7"/>
        <v>0.61457285552245888</v>
      </c>
      <c r="E51" s="14">
        <f t="shared" si="7"/>
        <v>0.61384343711126765</v>
      </c>
      <c r="F51" s="14">
        <f t="shared" si="7"/>
        <v>0.6074011025786924</v>
      </c>
      <c r="G51" s="14">
        <f t="shared" si="7"/>
        <v>0.59463067214934917</v>
      </c>
    </row>
    <row r="53" spans="1:7" x14ac:dyDescent="0.45">
      <c r="A53" s="17" t="s">
        <v>225</v>
      </c>
    </row>
    <row r="54" spans="1:7" x14ac:dyDescent="0.45">
      <c r="A54" s="15" t="s">
        <v>105</v>
      </c>
      <c r="B54" s="13"/>
      <c r="C54" s="14">
        <f t="shared" ref="C54:G56" si="8">C29/B29-1</f>
        <v>0.37099404893101173</v>
      </c>
      <c r="D54" s="14">
        <f t="shared" si="8"/>
        <v>0.28767563743931057</v>
      </c>
      <c r="E54" s="14">
        <f t="shared" si="8"/>
        <v>0.13310277666799841</v>
      </c>
      <c r="F54" s="14">
        <f t="shared" si="8"/>
        <v>0.18509867007503544</v>
      </c>
      <c r="G54" s="14">
        <f t="shared" si="8"/>
        <v>0.19681840157685304</v>
      </c>
    </row>
    <row r="55" spans="1:7" x14ac:dyDescent="0.45">
      <c r="A55" s="15" t="s">
        <v>95</v>
      </c>
      <c r="B55" s="13"/>
      <c r="C55" s="14">
        <f t="shared" si="8"/>
        <v>0.22387273493468185</v>
      </c>
      <c r="D55" s="14">
        <f t="shared" si="8"/>
        <v>-7.6533606704907386E-2</v>
      </c>
      <c r="E55" s="14">
        <f t="shared" si="8"/>
        <v>0.11179845263416577</v>
      </c>
      <c r="F55" s="14">
        <f t="shared" si="8"/>
        <v>8.9222560975609655E-2</v>
      </c>
      <c r="G55" s="14">
        <f t="shared" si="8"/>
        <v>0.1328705582690719</v>
      </c>
    </row>
    <row r="56" spans="1:7" x14ac:dyDescent="0.45">
      <c r="A56" s="15" t="s">
        <v>83</v>
      </c>
      <c r="B56" s="13"/>
      <c r="C56" s="14">
        <f t="shared" si="8"/>
        <v>0.1843178913332375</v>
      </c>
      <c r="D56" s="14">
        <f t="shared" si="8"/>
        <v>0.12881611532592663</v>
      </c>
      <c r="E56" s="14">
        <f t="shared" si="8"/>
        <v>0.11696846903887548</v>
      </c>
      <c r="F56" s="14">
        <f t="shared" si="8"/>
        <v>9.8260342149715907E-2</v>
      </c>
      <c r="G56" s="14">
        <f t="shared" si="8"/>
        <v>0.10015045277769885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0666B-FDC0-4AFA-8486-0F441C3477D9}">
  <sheetPr codeName="Sheet5"/>
  <dimension ref="A1:I21"/>
  <sheetViews>
    <sheetView topLeftCell="A2" zoomScale="75" workbookViewId="0">
      <selection activeCell="B1" sqref="B1"/>
    </sheetView>
  </sheetViews>
  <sheetFormatPr defaultRowHeight="14.25" x14ac:dyDescent="0.45"/>
  <cols>
    <col min="1" max="1" width="20.53125" bestFit="1" customWidth="1"/>
    <col min="2" max="2" width="7.59765625" bestFit="1" customWidth="1"/>
    <col min="3" max="3" width="8.86328125" bestFit="1" customWidth="1"/>
    <col min="4" max="4" width="9.33203125" bestFit="1" customWidth="1"/>
    <col min="5" max="5" width="5.59765625" bestFit="1" customWidth="1"/>
    <col min="7" max="9" width="6.59765625" bestFit="1" customWidth="1"/>
  </cols>
  <sheetData>
    <row r="1" spans="1:9" x14ac:dyDescent="0.45">
      <c r="A1" s="13" t="s">
        <v>228</v>
      </c>
      <c r="B1" s="13" t="s">
        <v>226</v>
      </c>
    </row>
    <row r="3" spans="1:9" x14ac:dyDescent="0.45">
      <c r="A3" s="17" t="s">
        <v>227</v>
      </c>
    </row>
    <row r="4" spans="1:9" x14ac:dyDescent="0.45">
      <c r="A4" s="13" t="s">
        <v>240</v>
      </c>
      <c r="B4" s="13" t="s">
        <v>226</v>
      </c>
      <c r="C4" s="13" t="s">
        <v>229</v>
      </c>
      <c r="D4" s="13" t="s">
        <v>230</v>
      </c>
      <c r="E4" s="13" t="s">
        <v>231</v>
      </c>
    </row>
    <row r="5" spans="1:9" x14ac:dyDescent="0.45">
      <c r="A5" s="18" t="s">
        <v>232</v>
      </c>
      <c r="B5" s="24">
        <v>0.32700000000000001</v>
      </c>
      <c r="C5" s="24">
        <v>0.34899999999999998</v>
      </c>
      <c r="D5" s="24">
        <v>0.30399999999999999</v>
      </c>
      <c r="E5" s="25">
        <f t="shared" ref="E5:E11" si="0">INDEX(B5:D5, MATCH($B$1, $B$4:$D$4, 0))</f>
        <v>0.32700000000000001</v>
      </c>
      <c r="G5" s="8"/>
      <c r="H5" s="8"/>
      <c r="I5" s="8"/>
    </row>
    <row r="6" spans="1:9" ht="28.5" x14ac:dyDescent="0.45">
      <c r="A6" s="18" t="s">
        <v>233</v>
      </c>
      <c r="B6" s="24">
        <v>0.13900000000000001</v>
      </c>
      <c r="C6" s="24">
        <v>0.15</v>
      </c>
      <c r="D6" s="24">
        <v>0.123</v>
      </c>
      <c r="E6" s="25">
        <f t="shared" si="0"/>
        <v>0.13900000000000001</v>
      </c>
      <c r="G6" s="8"/>
      <c r="H6" s="8"/>
      <c r="I6" s="8"/>
    </row>
    <row r="7" spans="1:9" ht="28.5" x14ac:dyDescent="0.45">
      <c r="A7" s="18" t="s">
        <v>234</v>
      </c>
      <c r="B7" s="24">
        <v>0.11700000000000001</v>
      </c>
      <c r="C7" s="24">
        <v>0.127</v>
      </c>
      <c r="D7" s="24">
        <v>0.1</v>
      </c>
      <c r="E7" s="25">
        <f t="shared" si="0"/>
        <v>0.11700000000000001</v>
      </c>
      <c r="G7" s="8"/>
      <c r="H7" s="8"/>
      <c r="I7" s="8"/>
    </row>
    <row r="8" spans="1:9" x14ac:dyDescent="0.45">
      <c r="A8" s="18" t="s">
        <v>235</v>
      </c>
      <c r="B8" s="24">
        <v>0.379</v>
      </c>
      <c r="C8" s="24">
        <v>0.39200000000000002</v>
      </c>
      <c r="D8" s="24">
        <v>0.36599999999999999</v>
      </c>
      <c r="E8" s="25">
        <f t="shared" si="0"/>
        <v>0.379</v>
      </c>
      <c r="G8" s="8"/>
      <c r="H8" s="8"/>
      <c r="I8" s="8"/>
    </row>
    <row r="9" spans="1:9" ht="28.5" x14ac:dyDescent="0.45">
      <c r="A9" s="18" t="s">
        <v>236</v>
      </c>
      <c r="B9" s="24">
        <v>3.2000000000000001E-2</v>
      </c>
      <c r="C9" s="24">
        <v>3.3000000000000002E-2</v>
      </c>
      <c r="D9" s="24">
        <v>3.1E-2</v>
      </c>
      <c r="E9" s="25">
        <f t="shared" si="0"/>
        <v>3.2000000000000001E-2</v>
      </c>
      <c r="G9" s="8"/>
      <c r="H9" s="8"/>
      <c r="I9" s="8"/>
    </row>
    <row r="10" spans="1:9" ht="28.5" x14ac:dyDescent="0.45">
      <c r="A10" s="18" t="s">
        <v>237</v>
      </c>
      <c r="B10" s="24">
        <v>7.9000000000000001E-2</v>
      </c>
      <c r="C10" s="24">
        <v>8.4000000000000005E-2</v>
      </c>
      <c r="D10" s="24">
        <v>7.3999999999999996E-2</v>
      </c>
      <c r="E10" s="25">
        <f t="shared" si="0"/>
        <v>7.9000000000000001E-2</v>
      </c>
      <c r="G10" s="8"/>
      <c r="H10" s="8"/>
      <c r="I10" s="8"/>
    </row>
    <row r="11" spans="1:9" ht="28.5" x14ac:dyDescent="0.45">
      <c r="A11" s="18" t="s">
        <v>238</v>
      </c>
      <c r="B11" s="24">
        <v>0.14499999999999999</v>
      </c>
      <c r="C11" s="24">
        <v>0.14099999999999999</v>
      </c>
      <c r="D11" s="24">
        <v>0.14899999999999999</v>
      </c>
      <c r="E11" s="25">
        <f t="shared" si="0"/>
        <v>0.14499999999999999</v>
      </c>
      <c r="G11" s="8"/>
      <c r="H11" s="8"/>
      <c r="I11" s="8"/>
    </row>
    <row r="13" spans="1:9" x14ac:dyDescent="0.45">
      <c r="A13" s="19" t="s">
        <v>239</v>
      </c>
    </row>
    <row r="14" spans="1:9" x14ac:dyDescent="0.45">
      <c r="A14" s="13" t="s">
        <v>240</v>
      </c>
      <c r="B14" s="13" t="s">
        <v>226</v>
      </c>
      <c r="C14" s="13" t="s">
        <v>229</v>
      </c>
      <c r="D14" s="13" t="s">
        <v>230</v>
      </c>
      <c r="E14" s="13" t="s">
        <v>231</v>
      </c>
    </row>
    <row r="15" spans="1:9" x14ac:dyDescent="0.45">
      <c r="A15" s="18" t="s">
        <v>232</v>
      </c>
      <c r="B15" s="24">
        <v>0.249</v>
      </c>
      <c r="C15" s="24">
        <v>0.32700000000000001</v>
      </c>
      <c r="D15" s="24">
        <v>0.13300000000000001</v>
      </c>
      <c r="E15" s="25">
        <f>INDEX(B15:D15, MATCH($B$1, $B$14:$D$14, 0))</f>
        <v>0.249</v>
      </c>
      <c r="G15" s="8"/>
      <c r="H15" s="8"/>
      <c r="I15" s="8"/>
    </row>
    <row r="16" spans="1:9" ht="28.5" x14ac:dyDescent="0.45">
      <c r="A16" s="18" t="s">
        <v>233</v>
      </c>
      <c r="B16" s="24">
        <v>0.125</v>
      </c>
      <c r="C16" s="24">
        <v>0.13900000000000001</v>
      </c>
      <c r="D16" s="24">
        <v>8.8999999999999996E-2</v>
      </c>
      <c r="E16" s="25">
        <f t="shared" ref="E16:E21" si="1">INDEX(B16:D16, MATCH($B$1, $B$14:$D$14, 0))</f>
        <v>0.125</v>
      </c>
      <c r="G16" s="8"/>
      <c r="H16" s="8"/>
      <c r="I16" s="8"/>
    </row>
    <row r="17" spans="1:9" ht="28.5" x14ac:dyDescent="0.45">
      <c r="A17" s="18" t="s">
        <v>234</v>
      </c>
      <c r="B17" s="24">
        <v>0.111</v>
      </c>
      <c r="C17" s="24">
        <v>0.11700000000000001</v>
      </c>
      <c r="D17" s="24">
        <v>9.8000000000000004E-2</v>
      </c>
      <c r="E17" s="25">
        <f t="shared" si="1"/>
        <v>0.111</v>
      </c>
      <c r="G17" s="8"/>
      <c r="H17" s="8"/>
      <c r="I17" s="8"/>
    </row>
    <row r="18" spans="1:9" x14ac:dyDescent="0.45">
      <c r="A18" s="18" t="s">
        <v>235</v>
      </c>
      <c r="B18" s="24">
        <v>0.379</v>
      </c>
      <c r="C18" s="24">
        <v>0.40400000000000003</v>
      </c>
      <c r="D18" s="24">
        <v>0.33200000000000002</v>
      </c>
      <c r="E18" s="25">
        <f t="shared" si="1"/>
        <v>0.379</v>
      </c>
      <c r="G18" s="8"/>
      <c r="H18" s="8"/>
      <c r="I18" s="8"/>
    </row>
    <row r="19" spans="1:9" ht="28.5" x14ac:dyDescent="0.45">
      <c r="A19" s="18" t="s">
        <v>236</v>
      </c>
      <c r="B19" s="24">
        <v>3.2000000000000001E-2</v>
      </c>
      <c r="C19" s="24">
        <v>3.5000000000000003E-2</v>
      </c>
      <c r="D19" s="24">
        <v>1.2E-2</v>
      </c>
      <c r="E19" s="25">
        <f t="shared" si="1"/>
        <v>3.2000000000000001E-2</v>
      </c>
      <c r="G19" s="8"/>
      <c r="H19" s="8"/>
      <c r="I19" s="8"/>
    </row>
    <row r="20" spans="1:9" ht="28.5" x14ac:dyDescent="0.45">
      <c r="A20" s="18" t="s">
        <v>237</v>
      </c>
      <c r="B20" s="24">
        <v>7.9000000000000001E-2</v>
      </c>
      <c r="C20" s="24">
        <v>8.8999999999999996E-2</v>
      </c>
      <c r="D20" s="24">
        <v>5.8999999999999997E-2</v>
      </c>
      <c r="E20" s="25">
        <f t="shared" si="1"/>
        <v>7.9000000000000001E-2</v>
      </c>
      <c r="G20" s="8"/>
      <c r="H20" s="8"/>
      <c r="I20" s="8"/>
    </row>
    <row r="21" spans="1:9" ht="28.5" x14ac:dyDescent="0.45">
      <c r="A21" s="18" t="s">
        <v>238</v>
      </c>
      <c r="B21" s="24">
        <v>0.14499999999999999</v>
      </c>
      <c r="C21" s="24">
        <v>0.13700000000000001</v>
      </c>
      <c r="D21" s="24">
        <v>0.155</v>
      </c>
      <c r="E21" s="25">
        <f t="shared" si="1"/>
        <v>0.14499999999999999</v>
      </c>
      <c r="G21" s="8"/>
      <c r="H21" s="8"/>
      <c r="I21" s="8"/>
    </row>
  </sheetData>
  <dataValidations count="1">
    <dataValidation type="list" allowBlank="1" showInputMessage="1" showErrorMessage="1" sqref="B1" xr:uid="{20E7956C-7822-49AC-B6AD-8643E7979C5B}">
      <formula1>"Base,Optimistic,Pessimistic"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9BFC-E828-468E-BEB6-21100DF2853A}">
  <sheetPr codeName="Sheet6"/>
  <dimension ref="A1:E21"/>
  <sheetViews>
    <sheetView zoomScale="102" zoomScaleNormal="102" workbookViewId="0">
      <selection activeCell="K26" sqref="K26"/>
    </sheetView>
  </sheetViews>
  <sheetFormatPr defaultRowHeight="14.25" x14ac:dyDescent="0.45"/>
  <cols>
    <col min="1" max="1" width="27.3984375" bestFit="1" customWidth="1"/>
    <col min="2" max="2" width="11.59765625" bestFit="1" customWidth="1"/>
    <col min="3" max="3" width="10" bestFit="1" customWidth="1"/>
    <col min="4" max="5" width="9.9296875" bestFit="1" customWidth="1"/>
  </cols>
  <sheetData>
    <row r="1" spans="1:5" x14ac:dyDescent="0.45">
      <c r="A1" s="17" t="s">
        <v>255</v>
      </c>
    </row>
    <row r="2" spans="1:5" x14ac:dyDescent="0.45">
      <c r="A2" s="13" t="s">
        <v>222</v>
      </c>
      <c r="B2" s="13" t="s">
        <v>241</v>
      </c>
      <c r="C2" s="13">
        <v>2026</v>
      </c>
      <c r="D2" s="13">
        <v>2027</v>
      </c>
      <c r="E2" s="13">
        <v>2028</v>
      </c>
    </row>
    <row r="3" spans="1:5" x14ac:dyDescent="0.45">
      <c r="A3" s="13" t="s">
        <v>242</v>
      </c>
      <c r="B3" s="20">
        <f>GETPIVOTDATA("Value",Analysis!$A$27,"Segment","AWS","Year",2025)</f>
        <v>128725</v>
      </c>
      <c r="C3" s="20">
        <f>B3*(1+Assumptions!$E$5)</f>
        <v>170818.07499999998</v>
      </c>
      <c r="D3" s="20">
        <f>C3*(1+Assumptions!$E$15)</f>
        <v>213351.77567499998</v>
      </c>
      <c r="E3" s="20">
        <f>D3*(1+Assumptions!$E$15)</f>
        <v>266476.367818075</v>
      </c>
    </row>
    <row r="4" spans="1:5" x14ac:dyDescent="0.45">
      <c r="A4" s="13" t="s">
        <v>243</v>
      </c>
      <c r="B4" s="20">
        <f>GETPIVOTDATA("Value",Analysis!$A$27,"Segment","International","Year",2025)</f>
        <v>161894</v>
      </c>
      <c r="C4" s="20">
        <f>B4*(1+Assumptions!$E$6)</f>
        <v>184397.266</v>
      </c>
      <c r="D4" s="20">
        <f>C4*(1+Assumptions!$E$16)</f>
        <v>207446.92425000001</v>
      </c>
      <c r="E4" s="20">
        <f>D4*(1+Assumptions!$E$16)</f>
        <v>233377.78978125</v>
      </c>
    </row>
    <row r="5" spans="1:5" x14ac:dyDescent="0.45">
      <c r="A5" s="13" t="s">
        <v>244</v>
      </c>
      <c r="B5" s="20">
        <f>GETPIVOTDATA("Value",Analysis!$A$27,"Segment","North America","Year",2025)</f>
        <v>426305</v>
      </c>
      <c r="C5" s="20">
        <f>B5*(1+Assumptions!$E$7)</f>
        <v>476182.685</v>
      </c>
      <c r="D5" s="20">
        <f>C5*(1+Assumptions!$E$17)</f>
        <v>529038.96303500002</v>
      </c>
      <c r="E5" s="20">
        <f>D5*(1+Assumptions!$E$17)</f>
        <v>587762.28793188499</v>
      </c>
    </row>
    <row r="6" spans="1:5" x14ac:dyDescent="0.45">
      <c r="A6" s="16" t="s">
        <v>11</v>
      </c>
      <c r="B6" s="21">
        <f>GETPIVOTDATA("Value",Analysis!$A$27,"Year",2025)</f>
        <v>716924</v>
      </c>
      <c r="C6" s="21">
        <f>SUM(C3:C5)</f>
        <v>831398.02600000007</v>
      </c>
      <c r="D6" s="21">
        <f>SUM(D3:D5)</f>
        <v>949837.66295999999</v>
      </c>
      <c r="E6" s="21">
        <f>SUM(E3:E5)</f>
        <v>1087616.4455312099</v>
      </c>
    </row>
    <row r="7" spans="1:5" x14ac:dyDescent="0.45">
      <c r="B7" s="9"/>
      <c r="C7" s="9"/>
      <c r="D7" s="9"/>
      <c r="E7" s="9"/>
    </row>
    <row r="8" spans="1:5" x14ac:dyDescent="0.45">
      <c r="A8" s="13" t="s">
        <v>245</v>
      </c>
      <c r="B8" s="20">
        <f>GETPIVOTDATA("Value",Analysis!$A$36,"Segment","AWS","Year",2025)</f>
        <v>45606</v>
      </c>
      <c r="C8" s="20">
        <f>C3*Assumptions!$E$8</f>
        <v>64740.050424999994</v>
      </c>
      <c r="D8" s="20">
        <f>D3*Assumptions!$E$18</f>
        <v>80860.322980824989</v>
      </c>
      <c r="E8" s="20">
        <f>E3*Assumptions!$E$18</f>
        <v>100994.54340305043</v>
      </c>
    </row>
    <row r="9" spans="1:5" x14ac:dyDescent="0.45">
      <c r="A9" s="13" t="s">
        <v>246</v>
      </c>
      <c r="B9" s="20">
        <f>GETPIVOTDATA("Value",Analysis!$A$36,"Segment","International","Year",2025)</f>
        <v>4750</v>
      </c>
      <c r="C9" s="20">
        <f>C4*Assumptions!$E$9</f>
        <v>5900.7125120000001</v>
      </c>
      <c r="D9" s="20">
        <f>D4*Assumptions!$E$19</f>
        <v>6638.3015760000008</v>
      </c>
      <c r="E9" s="20">
        <f>E4*Assumptions!$E$19</f>
        <v>7468.0892730000005</v>
      </c>
    </row>
    <row r="10" spans="1:5" x14ac:dyDescent="0.45">
      <c r="A10" s="13" t="s">
        <v>247</v>
      </c>
      <c r="B10" s="20">
        <f>GETPIVOTDATA("Value",Analysis!$A$36,"Segment","North America","Year",2025)</f>
        <v>29619</v>
      </c>
      <c r="C10" s="20">
        <f>C5*Assumptions!$E$10</f>
        <v>37618.432115000003</v>
      </c>
      <c r="D10" s="20">
        <f>D5*Assumptions!$E$20</f>
        <v>41794.078079765</v>
      </c>
      <c r="E10" s="20">
        <f>E5*Assumptions!$E$20</f>
        <v>46433.220746618914</v>
      </c>
    </row>
    <row r="11" spans="1:5" x14ac:dyDescent="0.45">
      <c r="A11" s="16" t="s">
        <v>248</v>
      </c>
      <c r="B11" s="21">
        <f>GETPIVOTDATA("Value",Analysis!$A$36,"Year",2025)</f>
        <v>79975</v>
      </c>
      <c r="C11" s="21">
        <f>SUM(C8:C10)</f>
        <v>108259.195052</v>
      </c>
      <c r="D11" s="21">
        <f>SUM(D8:D10)</f>
        <v>129292.70263658999</v>
      </c>
      <c r="E11" s="21">
        <f>SUM(E8:E10)</f>
        <v>154895.85342266934</v>
      </c>
    </row>
    <row r="12" spans="1:5" x14ac:dyDescent="0.45">
      <c r="A12" s="13" t="s">
        <v>249</v>
      </c>
      <c r="B12" s="14">
        <f>Analysis!G21</f>
        <v>0.11155296795755199</v>
      </c>
      <c r="C12" s="14">
        <f>C11/C6</f>
        <v>0.13021343768742599</v>
      </c>
      <c r="D12" s="14">
        <f>D11/D6</f>
        <v>0.13612084220125817</v>
      </c>
      <c r="E12" s="14">
        <f>E11/E6</f>
        <v>0.14241771909491094</v>
      </c>
    </row>
    <row r="13" spans="1:5" x14ac:dyDescent="0.45">
      <c r="B13" s="7"/>
    </row>
    <row r="14" spans="1:5" x14ac:dyDescent="0.45">
      <c r="A14" s="13" t="s">
        <v>250</v>
      </c>
      <c r="B14" s="20">
        <f>GETPIVOTDATA("Value",Analysis!$A$3,"Line item","Fulfillment","Year",2025)</f>
        <v>109074</v>
      </c>
      <c r="C14" s="20">
        <f>C6*Assumptions!$E$11</f>
        <v>120552.71377</v>
      </c>
      <c r="D14" s="20">
        <f>D6*Assumptions!$E$21</f>
        <v>137726.46112919998</v>
      </c>
      <c r="E14" s="20">
        <f>E6*Assumptions!$E$21</f>
        <v>157704.38460202544</v>
      </c>
    </row>
    <row r="15" spans="1:5" x14ac:dyDescent="0.45">
      <c r="A15" s="13" t="s">
        <v>251</v>
      </c>
      <c r="B15" s="14">
        <f>Analysis!G17</f>
        <v>0.15214164960302626</v>
      </c>
      <c r="C15" s="14">
        <f>C14/C6</f>
        <v>0.14499999999999999</v>
      </c>
      <c r="D15" s="14">
        <f>D14/D6</f>
        <v>0.14499999999999996</v>
      </c>
      <c r="E15" s="14">
        <f>E14/E6</f>
        <v>0.14499999999999999</v>
      </c>
    </row>
    <row r="16" spans="1:5" x14ac:dyDescent="0.45">
      <c r="B16" s="7"/>
      <c r="C16" s="7"/>
      <c r="D16" s="7"/>
      <c r="E16" s="7"/>
    </row>
    <row r="17" spans="1:4" x14ac:dyDescent="0.45">
      <c r="A17" s="17" t="s">
        <v>256</v>
      </c>
    </row>
    <row r="18" spans="1:4" x14ac:dyDescent="0.45">
      <c r="A18" s="13"/>
      <c r="B18" s="22" t="s">
        <v>226</v>
      </c>
      <c r="C18" s="22" t="s">
        <v>229</v>
      </c>
      <c r="D18" s="22" t="s">
        <v>230</v>
      </c>
    </row>
    <row r="19" spans="1:4" x14ac:dyDescent="0.45">
      <c r="A19" s="13" t="s">
        <v>252</v>
      </c>
      <c r="B19" s="23">
        <v>1087616.4455312099</v>
      </c>
      <c r="C19" s="23">
        <v>1146764.98239974</v>
      </c>
      <c r="D19" s="23">
        <v>996435.90667260217</v>
      </c>
    </row>
    <row r="20" spans="1:4" x14ac:dyDescent="0.45">
      <c r="A20" s="13" t="s">
        <v>253</v>
      </c>
      <c r="B20" s="23">
        <v>154895.85342266934</v>
      </c>
      <c r="C20" s="23">
        <v>185341.70438965733</v>
      </c>
      <c r="D20" s="23">
        <v>107481.24840709723</v>
      </c>
    </row>
    <row r="21" spans="1:4" x14ac:dyDescent="0.45">
      <c r="A21" s="13" t="s">
        <v>254</v>
      </c>
      <c r="B21" s="24">
        <v>0.14241771909491094</v>
      </c>
      <c r="C21" s="24">
        <v>0.16162134982689139</v>
      </c>
      <c r="D21" s="24">
        <v>0.10786569179949496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RefreshReport">
                <anchor moveWithCells="1" sizeWithCells="1">
                  <from>
                    <xdr:col>5</xdr:col>
                    <xdr:colOff>233363</xdr:colOff>
                    <xdr:row>1</xdr:row>
                    <xdr:rowOff>90488</xdr:rowOff>
                  </from>
                  <to>
                    <xdr:col>9</xdr:col>
                    <xdr:colOff>385763</xdr:colOff>
                    <xdr:row>5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ScenarioSummary">
                <anchor moveWithCells="1" sizeWithCells="1">
                  <from>
                    <xdr:col>4</xdr:col>
                    <xdr:colOff>390525</xdr:colOff>
                    <xdr:row>17</xdr:row>
                    <xdr:rowOff>80963</xdr:rowOff>
                  </from>
                  <to>
                    <xdr:col>8</xdr:col>
                    <xdr:colOff>319088</xdr:colOff>
                    <xdr:row>21</xdr:row>
                    <xdr:rowOff>119063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CBB480-AC79-497C-8C1E-59EE369FC8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Amazon_Income_Statements</vt:lpstr>
      <vt:lpstr>Amazon_Segment_Information</vt:lpstr>
      <vt:lpstr>Analysis</vt:lpstr>
      <vt:lpstr>Assumptions</vt:lpstr>
      <vt:lpstr>Forecast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Lagun Dhaul</dc:creator>
  <cp:lastModifiedBy>Lagun Dhaul</cp:lastModifiedBy>
  <dcterms:created xsi:type="dcterms:W3CDTF">2015-06-05T18:17:20Z</dcterms:created>
  <dcterms:modified xsi:type="dcterms:W3CDTF">2026-10-29T21:38:31Z</dcterms:modified>
</cp:coreProperties>
</file>